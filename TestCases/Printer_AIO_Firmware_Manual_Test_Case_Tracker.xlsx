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onJrTan\Downloads\"/>
    </mc:Choice>
  </mc:AlternateContent>
  <xr:revisionPtr revIDLastSave="0" documentId="13_ncr:1_{F1B728FE-92FA-4EA7-A840-E22CBE5A2C2A}" xr6:coauthVersionLast="47" xr6:coauthVersionMax="47" xr10:uidLastSave="{00000000-0000-0000-0000-000000000000}"/>
  <bookViews>
    <workbookView xWindow="28680" yWindow="-120" windowWidth="29040" windowHeight="15720" firstSheet="6" activeTab="9" xr2:uid="{00000000-000D-0000-FFFF-FFFF00000000}"/>
  </bookViews>
  <sheets>
    <sheet name="README" sheetId="1" r:id="rId1"/>
    <sheet name="Summary" sheetId="2" r:id="rId2"/>
    <sheet name="Lists" sheetId="3" r:id="rId3"/>
    <sheet name="10_Print_Functionality" sheetId="4" r:id="rId4"/>
    <sheet name="20_Copy_Functionality" sheetId="5" r:id="rId5"/>
    <sheet name="30_Scan_Functionality" sheetId="6" r:id="rId6"/>
    <sheet name="40_Network_Connectivity" sheetId="7" r:id="rId7"/>
    <sheet name="50_Firmware_Configuration" sheetId="8" r:id="rId8"/>
    <sheet name="60_Paper_Handling_Media" sheetId="9" r:id="rId9"/>
    <sheet name="70_UI_Control_Panel" sheetId="10" r:id="rId10"/>
    <sheet name="80_Security_Access" sheetId="11" r:id="rId11"/>
    <sheet name="90_Monitoring_Alerts" sheetId="12" r:id="rId12"/>
    <sheet name="100_Performance_Reliability" sheetId="13" r:id="rId13"/>
    <sheet name="110_E2E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B29" i="2"/>
  <c r="B28" i="2"/>
  <c r="E28" i="2" s="1"/>
  <c r="B27" i="2"/>
  <c r="F23" i="2"/>
  <c r="E23" i="2"/>
  <c r="D23" i="2"/>
  <c r="C23" i="2"/>
  <c r="E27" i="2" s="1"/>
  <c r="E29" i="2" s="1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E31" i="2" l="1"/>
  <c r="E30" i="2"/>
</calcChain>
</file>

<file path=xl/sharedStrings.xml><?xml version="1.0" encoding="utf-8"?>
<sst xmlns="http://schemas.openxmlformats.org/spreadsheetml/2006/main" count="971" uniqueCount="529">
  <si>
    <t>All-in-One Printer Firmware QA — QA Manual Test Pack</t>
  </si>
  <si>
    <t>Purpose</t>
  </si>
  <si>
    <t>Provide reusable sample manual test cases for printer firmware, copy/print/scan workflows, network connectivity, configuration, reliability, monitoring, security, and end-to-end validation.</t>
  </si>
  <si>
    <t>How to use</t>
  </si>
  <si>
    <t>Open each module sheet and update Status and Notes during execution. Summary KPIs and module counts refresh automatically.</t>
  </si>
  <si>
    <t>Important note</t>
  </si>
  <si>
    <t>These are sample QA scenarios for portfolio use and should be tailored to your target printer model, firmware branch, supported protocols, hardware options, service tools, and release criteria.</t>
  </si>
  <si>
    <t>Default status</t>
  </si>
  <si>
    <t>Not Run</t>
  </si>
  <si>
    <t>Default priority</t>
  </si>
  <si>
    <t>High</t>
  </si>
  <si>
    <t>Primary domain</t>
  </si>
  <si>
    <t>Firmware QA / Embedded Systems / All-in-One Printer</t>
  </si>
  <si>
    <t>Official reference sources</t>
  </si>
  <si>
    <t>IPP Everywhere</t>
  </si>
  <si>
    <t>https://www.pwg.org/ipp/everywhere.html</t>
  </si>
  <si>
    <t>Driverless network/USB printing standard and capability/discovery reference</t>
  </si>
  <si>
    <t>How to Use IPP</t>
  </si>
  <si>
    <t>https://www.pwg.org/ipp/ippguide.html</t>
  </si>
  <si>
    <t>IPP objects, capabilities, printer state, and job monitoring guidance</t>
  </si>
  <si>
    <t>WS-Print v1.1</t>
  </si>
  <si>
    <t>https://learn.microsoft.com/en-us/windows-hardware/drivers/print/ws-print-v1-1</t>
  </si>
  <si>
    <t>Microsoft overview of Web Services for Devices printing protocols</t>
  </si>
  <si>
    <t>WSD Scan Verify</t>
  </si>
  <si>
    <t>https://learn.microsoft.com/en-us/windows-hardware/test/hlk/testref/ac904c9d-4117-4d89-ae72-476aa618255c</t>
  </si>
  <si>
    <t>Manual verification guidance for WSD scan protocol behavior</t>
  </si>
  <si>
    <t>Printer MIB v2 (RFC 3805)</t>
  </si>
  <si>
    <t>https://datatracker.ietf.org/doc/html/rfc3805</t>
  </si>
  <si>
    <t>Device management and printer status object model reference</t>
  </si>
  <si>
    <t>IPP Scan Service</t>
  </si>
  <si>
    <t>https://ftp.pwg.org/pub/pwg/candidates/cs-ippscan10-20140918-5100.17.pdf</t>
  </si>
  <si>
    <t>Scan service operations and semantics over IPP</t>
  </si>
  <si>
    <t>All-in-One Printer Firmware QA Tracker</t>
  </si>
  <si>
    <t>Manual QA test suite for printer firmware and embedded system validation using the same multi-tab execution-tracker structure as the prior Data / ETL portfolio packs.</t>
  </si>
  <si>
    <t>Workbook Controls</t>
  </si>
  <si>
    <t>Default Status</t>
  </si>
  <si>
    <t>Default Priority</t>
  </si>
  <si>
    <t>Portfolio Owner</t>
  </si>
  <si>
    <t>Ramon Tan Jr.</t>
  </si>
  <si>
    <t>Primary Domain</t>
  </si>
  <si>
    <t>Module Coverage</t>
  </si>
  <si>
    <t>Module</t>
  </si>
  <si>
    <t>Sheet Name</t>
  </si>
  <si>
    <t>Total Cases</t>
  </si>
  <si>
    <t>High Priority</t>
  </si>
  <si>
    <t>Negative Cases</t>
  </si>
  <si>
    <t>Automation Candidates</t>
  </si>
  <si>
    <t>Print Functionality</t>
  </si>
  <si>
    <t>10_Print_Functionality</t>
  </si>
  <si>
    <t>Copy Functionality</t>
  </si>
  <si>
    <t>20_Copy_Functionality</t>
  </si>
  <si>
    <t>Scan Functionality</t>
  </si>
  <si>
    <t>30_Scan_Functionality</t>
  </si>
  <si>
    <t>Network Connectivity</t>
  </si>
  <si>
    <t>40_Network_Connectivity</t>
  </si>
  <si>
    <t>Firmware &amp; Configuration</t>
  </si>
  <si>
    <t>50_Firmware_Configuration</t>
  </si>
  <si>
    <t>Paper Handling &amp; Media</t>
  </si>
  <si>
    <t>60_Paper_Handling_Media</t>
  </si>
  <si>
    <t>UI &amp; Control Panel</t>
  </si>
  <si>
    <t>70_UI_Control_Panel</t>
  </si>
  <si>
    <t>Security &amp; Access</t>
  </si>
  <si>
    <t>80_Security_Access</t>
  </si>
  <si>
    <t>Monitoring &amp; Alerts</t>
  </si>
  <si>
    <t>90_Monitoring_Alerts</t>
  </si>
  <si>
    <t>Performance &amp; Reliability</t>
  </si>
  <si>
    <t>100_Performance_Reliability</t>
  </si>
  <si>
    <t>End-to-End</t>
  </si>
  <si>
    <t>110_E2E</t>
  </si>
  <si>
    <t>Total</t>
  </si>
  <si>
    <t>Execution Status</t>
  </si>
  <si>
    <t>Status</t>
  </si>
  <si>
    <t>Count</t>
  </si>
  <si>
    <t/>
  </si>
  <si>
    <t>Metric</t>
  </si>
  <si>
    <t>Value</t>
  </si>
  <si>
    <t>Total Test Cases</t>
  </si>
  <si>
    <t>Pass</t>
  </si>
  <si>
    <t>Executed Cases</t>
  </si>
  <si>
    <t>Fail</t>
  </si>
  <si>
    <t>Execution %</t>
  </si>
  <si>
    <t>Blocked</t>
  </si>
  <si>
    <t>Pass Rate</t>
  </si>
  <si>
    <t>Fail Rate</t>
  </si>
  <si>
    <t>Critical</t>
  </si>
  <si>
    <t>Yes</t>
  </si>
  <si>
    <t>Positive</t>
  </si>
  <si>
    <t>Later</t>
  </si>
  <si>
    <t>Negative</t>
  </si>
  <si>
    <t>Medium</t>
  </si>
  <si>
    <t>No</t>
  </si>
  <si>
    <t>Regression</t>
  </si>
  <si>
    <t>Low</t>
  </si>
  <si>
    <t>Integration</t>
  </si>
  <si>
    <t>Security</t>
  </si>
  <si>
    <t>E2E</t>
  </si>
  <si>
    <t>Performance</t>
  </si>
  <si>
    <t>Usability</t>
  </si>
  <si>
    <t>Update the Status and Notes columns during execution. Summary KPIs and counts refresh automatically.</t>
  </si>
  <si>
    <t>TC_ID</t>
  </si>
  <si>
    <t>Scenario</t>
  </si>
  <si>
    <t>Preconditions</t>
  </si>
  <si>
    <t>Steps</t>
  </si>
  <si>
    <t>Test Data</t>
  </si>
  <si>
    <t>Expected Result</t>
  </si>
  <si>
    <t>Priority</t>
  </si>
  <si>
    <t>Type</t>
  </si>
  <si>
    <t>Automation Candidate</t>
  </si>
  <si>
    <t>Notes</t>
  </si>
  <si>
    <t>PRT-001</t>
  </si>
  <si>
    <t>Local USB print job completes using default settings</t>
  </si>
  <si>
    <t>Printer is powered on, idle, and USB host port is enabled.</t>
  </si>
  <si>
    <t>1. Insert USB storage with supported PDF file
2. Select file from local print menu
3. Start job using default settings</t>
  </si>
  <si>
    <t>PDF file: invoice_2pages.pdf</t>
  </si>
  <si>
    <t>Printer accepts the job, prints both pages correctly, and returns to Ready state.</t>
  </si>
  <si>
    <t>Baseline local print</t>
  </si>
  <si>
    <t>PRT-002</t>
  </si>
  <si>
    <t>Network print job submitted over IPP is received and printed</t>
  </si>
  <si>
    <t>Printer is connected to LAN and discoverable from a workstation.</t>
  </si>
  <si>
    <t>1. Add printer from workstation
2. Send 3-page document via IPP
3. Monitor printer queue and output</t>
  </si>
  <si>
    <t>Word document: test_packet_3pages.docx</t>
  </si>
  <si>
    <t>Job appears in queue, renders correctly, and final output order matches source document.</t>
  </si>
  <si>
    <t>Driverless print coverage</t>
  </si>
  <si>
    <t>PRT-003</t>
  </si>
  <si>
    <t>Unsupported file type from USB is rejected with clear feedback</t>
  </si>
  <si>
    <t>Printer UI is available and USB local print is enabled.</t>
  </si>
  <si>
    <t>1. Insert USB storage with unsupported file
2. Select unsupported file
3. Attempt local print</t>
  </si>
  <si>
    <t>Unsupported file: archive.zip</t>
  </si>
  <si>
    <t>Printer blocks the job, displays a clear unsupported-format message, and does not hang.</t>
  </si>
  <si>
    <t>Input validation</t>
  </si>
  <si>
    <t>PRT-004</t>
  </si>
  <si>
    <t>Duplex print honors long-edge binding setting</t>
  </si>
  <si>
    <t>Printer has duplex unit installed and paper tray loaded with A4 plain paper.</t>
  </si>
  <si>
    <t>1. Submit 4-page document
2. Select duplex long-edge option
3. Print and inspect output</t>
  </si>
  <si>
    <t>PDF file: duplex_sample_4pages.pdf</t>
  </si>
  <si>
    <t>All pages print front/back in the correct page order and orientation for long-edge binding.</t>
  </si>
  <si>
    <t>Duplex behavior</t>
  </si>
  <si>
    <t>PRT-005</t>
  </si>
  <si>
    <t>Large raster image print does not crash or reset the device</t>
  </si>
  <si>
    <t>Printer has sufficient memory and is idle.</t>
  </si>
  <si>
    <t>1. Submit a high-resolution image file
2. Monitor device responsiveness during rendering
3. Confirm job completion</t>
  </si>
  <si>
    <t>Image file: poster_600dpi_50MB.tif</t>
  </si>
  <si>
    <t>Printer remains responsive, completes the job without firmware reset, and logs no fatal rendering error.</t>
  </si>
  <si>
    <t>Memory/render stress</t>
  </si>
  <si>
    <t>PRT-006</t>
  </si>
  <si>
    <t>Cancelling an active print job stops output gracefully</t>
  </si>
  <si>
    <t>A multi-page print job is already printing.</t>
  </si>
  <si>
    <t>1. Start 20-page job
2. Wait until page 5 prints
3. Cancel job from control panel</t>
  </si>
  <si>
    <t>PDF file: long_job_20pages.pdf</t>
  </si>
  <si>
    <t>Active job stops gracefully, queue is cleared or marked cancelled, and subsequent jobs can be printed normally.</t>
  </si>
  <si>
    <t>Cancel flow</t>
  </si>
  <si>
    <t>CPY-001</t>
  </si>
  <si>
    <t>Single-page copy from flatbed reproduces original clearly</t>
  </si>
  <si>
    <t>Printer is powered on and scanner glass is clean.</t>
  </si>
  <si>
    <t>1. Place original on flatbed
2. Press Copy
3. Use default settings</t>
  </si>
  <si>
    <t>Original document: text_sample_A4</t>
  </si>
  <si>
    <t>Copy completes with readable text, correct margins, and no skew or clipping.</t>
  </si>
  <si>
    <t>Baseline copy</t>
  </si>
  <si>
    <t>CPY-002</t>
  </si>
  <si>
    <t>ADF multi-page copy preserves page count and order</t>
  </si>
  <si>
    <t>ADF is loaded with three pages and no paper jam is present.</t>
  </si>
  <si>
    <t>1. Load 3 sheets into ADF
2. Select Copy
3. Start job</t>
  </si>
  <si>
    <t>ADF set: contract_pages_1_to_3</t>
  </si>
  <si>
    <t>All 3 pages are copied in correct order with no missing or duplicated page.</t>
  </si>
  <si>
    <t>ADF feed order</t>
  </si>
  <si>
    <t>CPY-003</t>
  </si>
  <si>
    <t>Multiple copy count prints requested number only once per source page</t>
  </si>
  <si>
    <t>Printer is idle and has enough paper.</t>
  </si>
  <si>
    <t>1. Place single-page original
2. Set copies to 5
3. Start copy job</t>
  </si>
  <si>
    <t>Single-page original, copies=5</t>
  </si>
  <si>
    <t>Exactly 5 output copies are produced and device does not exceed requested quantity.</t>
  </si>
  <si>
    <t>Copy counter</t>
  </si>
  <si>
    <t>CPY-004</t>
  </si>
  <si>
    <t>Copy reduction to 50 percent scales output correctly</t>
  </si>
  <si>
    <t>Printer is idle and source document has visible edge markers.</t>
  </si>
  <si>
    <t>1. Place original on flatbed
2. Set reduce/enlarge to 50%
3. Start copy</t>
  </si>
  <si>
    <t>Scaling target = 50%</t>
  </si>
  <si>
    <t>Output content is reduced uniformly, remains legible, and stays centered within printable area.</t>
  </si>
  <si>
    <t>Scaling feature</t>
  </si>
  <si>
    <t>CPY-005</t>
  </si>
  <si>
    <t>Cover open during copy causes safe pause and recovery message</t>
  </si>
  <si>
    <t>Copy job is started from flatbed or ADF.</t>
  </si>
  <si>
    <t>1. Start copy job
2. Open scanner cover during processing if safely supported in simulation
3. Close cover and follow prompt</t>
  </si>
  <si>
    <t>Copy job in progress</t>
  </si>
  <si>
    <t>Device enters safe error state or pause, shows operator guidance, and recovers without crash after corrective action.</t>
  </si>
  <si>
    <t>Mechanical interruption</t>
  </si>
  <si>
    <t>CPY-006</t>
  </si>
  <si>
    <t>Blank-page copy from ADF does not create false jam condition</t>
  </si>
  <si>
    <t>ADF has one blank page loaded.</t>
  </si>
  <si>
    <t>1. Load blank page into ADF
2. Start copy
3. Observe feed and status</t>
  </si>
  <si>
    <t>Blank A4 page</t>
  </si>
  <si>
    <t>Page feeds normally, copy output is blank as expected, and no false jam or sensor error is raised.</t>
  </si>
  <si>
    <t>Sensor robustness</t>
  </si>
  <si>
    <t>SCN-001</t>
  </si>
  <si>
    <t>Scan to USB creates file in selected format</t>
  </si>
  <si>
    <t>USB storage is inserted and writable.</t>
  </si>
  <si>
    <t>1. Place original on flatbed
2. Choose Scan to USB
3. Select PDF
4. Start scan</t>
  </si>
  <si>
    <t>Original document: receipt_A5</t>
  </si>
  <si>
    <t>Scanner creates the PDF file on USB with readable image and expected filename or timestamp.</t>
  </si>
  <si>
    <t>Local scan output</t>
  </si>
  <si>
    <t>SCN-002</t>
  </si>
  <si>
    <t>Scan to network folder succeeds with valid SMB credentials</t>
  </si>
  <si>
    <t>Network share exists and credentials are correct.</t>
  </si>
  <si>
    <t>1. Configure SMB destination
2. Place document in ADF
3. Start scan to folder</t>
  </si>
  <si>
    <t>SMB path, valid username/password</t>
  </si>
  <si>
    <t>Scanned file is delivered to target folder, status shows success, and metadata such as filename/date is correct.</t>
  </si>
  <si>
    <t>Scan-to-folder</t>
  </si>
  <si>
    <t>SCN-003</t>
  </si>
  <si>
    <t>Invalid network folder credentials are rejected without storing secrets in plain view</t>
  </si>
  <si>
    <t>Printer has scan-to-folder feature enabled.</t>
  </si>
  <si>
    <t>1. Configure SMB destination with wrong password
2. Start scan
3. Review UI and logs</t>
  </si>
  <si>
    <t>Invalid password</t>
  </si>
  <si>
    <t>Job fails with authentication error, no document is sent, and masked credentials remain protected in UI/logs.</t>
  </si>
  <si>
    <t>Credential handling</t>
  </si>
  <si>
    <t>SCN-004</t>
  </si>
  <si>
    <t>ADF scan of mixed 5-page packet preserves page count and orientation</t>
  </si>
  <si>
    <t>ADF is loaded with 5 pages of the same size.</t>
  </si>
  <si>
    <t>1. Load 5-page packet
2. Start scan to email or folder
3. Open resulting file</t>
  </si>
  <si>
    <t>Packet: pages_1_to_5</t>
  </si>
  <si>
    <t>Output file contains all 5 pages in order with correct orientation and no page skipped.</t>
  </si>
  <si>
    <t>ADF scan continuity</t>
  </si>
  <si>
    <t>SCN-005</t>
  </si>
  <si>
    <t>Selected resolution and color mode are reflected in output</t>
  </si>
  <si>
    <t>Printer supports selectable DPI and color modes.</t>
  </si>
  <si>
    <t>1. Scan same source at 200 dpi grayscale
2. Scan again at 300 dpi color
3. Compare file properties</t>
  </si>
  <si>
    <t>Resolution/color combinations</t>
  </si>
  <si>
    <t>Generated files reflect selected mode and resolution differences in metadata and visual output.</t>
  </si>
  <si>
    <t>Settings persistence</t>
  </si>
  <si>
    <t>SCN-006</t>
  </si>
  <si>
    <t>Scan job can be cancelled before final file commit</t>
  </si>
  <si>
    <t>Scan destination is reachable and job is in progress.</t>
  </si>
  <si>
    <t>1. Start multi-page scan job
2. Cancel before completion
3. Inspect destination and device state</t>
  </si>
  <si>
    <t>10-page ADF packet</t>
  </si>
  <si>
    <t>Partial output is not incorrectly committed as complete, job is marked cancelled, and scanner returns to Ready state.</t>
  </si>
  <si>
    <t>Cancel behavior</t>
  </si>
  <si>
    <t>NET-001</t>
  </si>
  <si>
    <t>Device joins Wi-Fi network with valid WPA2 credentials</t>
  </si>
  <si>
    <t>Printer Wi-Fi radio is enabled and test SSID is available.</t>
  </si>
  <si>
    <t>1. Open wireless setup
2. Enter valid SSID/password
3. Save and connect</t>
  </si>
  <si>
    <t>SSID: QA_LAB_24G, valid password</t>
  </si>
  <si>
    <t>Printer obtains network connectivity, displays IP address, and remains reachable from test workstation.</t>
  </si>
  <si>
    <t>Wireless onboarding</t>
  </si>
  <si>
    <t>NET-002</t>
  </si>
  <si>
    <t>Invalid Wi-Fi password does not create false-connected state</t>
  </si>
  <si>
    <t>Test SSID is available.</t>
  </si>
  <si>
    <t>1. Enter correct SSID with wrong password
2. Attempt connection
3. Observe status</t>
  </si>
  <si>
    <t>SSID: QA_LAB_24G, invalid password</t>
  </si>
  <si>
    <t>Connection fails clearly, device does not display connected state, and previous stable config remains intact or recoverable.</t>
  </si>
  <si>
    <t>Auth failure</t>
  </si>
  <si>
    <t>NET-003</t>
  </si>
  <si>
    <t>DHCP lease renewal does not interrupt idle services or orphan stale IP</t>
  </si>
  <si>
    <t>Printer is connected via Ethernet and DHCP server is available.</t>
  </si>
  <si>
    <t>1. Trigger DHCP renewal from network or reboot sequence
2. Verify new/retained IP
3. Check printer discovery</t>
  </si>
  <si>
    <t>DHCP environment</t>
  </si>
  <si>
    <t>Printer remains discoverable after renewal and reports accurate network settings.</t>
  </si>
  <si>
    <t>IP lease stability</t>
  </si>
  <si>
    <t>NET-004</t>
  </si>
  <si>
    <t>Print job pauses or fails gracefully when LAN cable is removed mid-transfer</t>
  </si>
  <si>
    <t>Network print job is actively spooling over Ethernet.</t>
  </si>
  <si>
    <t>1. Start large network print job
2. Remove Ethernet link during transfer
3. Reconnect link and observe outcome</t>
  </si>
  <si>
    <t>Large PDF over Ethernet</t>
  </si>
  <si>
    <t>Device and client handle network loss gracefully with retry, pause, or clear failure message; firmware does not freeze.</t>
  </si>
  <si>
    <t>Mid-job disconnect</t>
  </si>
  <si>
    <t>NET-005</t>
  </si>
  <si>
    <t>WS-Print or IPP discovery exposes accurate device capabilities to host</t>
  </si>
  <si>
    <t>Printer is on same subnet as test workstation.</t>
  </si>
  <si>
    <t>1. Discover printer from host
2. Inspect reported capabilities
3. Compare with configured hardware</t>
  </si>
  <si>
    <t>Device capabilities: duplex, color, trays</t>
  </si>
  <si>
    <t>Host sees accurate capabilities and no unsupported option is falsely advertised.</t>
  </si>
  <si>
    <t>Discovery/capability sync</t>
  </si>
  <si>
    <t>NET-006</t>
  </si>
  <si>
    <t>Duplicate IP conflict is surfaced with actionable error handling</t>
  </si>
  <si>
    <t>Another device is configured with the same static IP.</t>
  </si>
  <si>
    <t>1. Set printer to conflicting static IP
2. Reconnect printer to network
3. Observe UI, logs, and reachability</t>
  </si>
  <si>
    <t>Conflicting static IP address</t>
  </si>
  <si>
    <t>Printer detects or surfaces connectivity issue, avoids unstable connected state, and provides actionable network error indication.</t>
  </si>
  <si>
    <t>Conflict handling</t>
  </si>
  <si>
    <t>FWM-001</t>
  </si>
  <si>
    <t>Signed firmware package installs successfully from approved source</t>
  </si>
  <si>
    <t>Printer is on stable power and approved firmware package is available.</t>
  </si>
  <si>
    <t>1. Open firmware update menu
2. Upload or select approved package
3. Start installation
4. Reboot if prompted</t>
  </si>
  <si>
    <t>Firmware package: aio_v1.2.3_signed.bin</t>
  </si>
  <si>
    <t>Firmware validates signature, installs successfully, reports new version, and preserves baseline configuration unless release notes state otherwise.</t>
  </si>
  <si>
    <t>Standard upgrade</t>
  </si>
  <si>
    <t>FWM-002</t>
  </si>
  <si>
    <t>Tampered or invalid firmware package is rejected before install</t>
  </si>
  <si>
    <t>Printer is on current stable firmware.</t>
  </si>
  <si>
    <t>1. Attempt update using tampered package
2. Confirm validation result</t>
  </si>
  <si>
    <t>Firmware package: aio_v1.2.3_tampered.bin</t>
  </si>
  <si>
    <t>Device rejects package, makes no firmware changes, and records validation failure in logs without bricking the unit.</t>
  </si>
  <si>
    <t>Package integrity</t>
  </si>
  <si>
    <t>FWM-003</t>
  </si>
  <si>
    <t>Power interruption during firmware install triggers safe recovery path</t>
  </si>
  <si>
    <t>Recovery image or rollback mechanism is available in simulation.</t>
  </si>
  <si>
    <t>1. Start firmware installation
2. Simulate power loss during write phase
3. Restore power and boot device</t>
  </si>
  <si>
    <t>Firmware package plus forced power cut</t>
  </si>
  <si>
    <t>Printer boots into recovery or rollback path, avoids corrupted half-installed state, and allows restoration to known-good firmware.</t>
  </si>
  <si>
    <t>Resilience</t>
  </si>
  <si>
    <t>FWM-004</t>
  </si>
  <si>
    <t>User settings persist after minor firmware upgrade</t>
  </si>
  <si>
    <t>Printer has non-default network, scan, and energy settings configured.</t>
  </si>
  <si>
    <t>1. Record current settings
2. Install minor approved firmware
3. Reboot and compare settings</t>
  </si>
  <si>
    <t>Configured Wi-Fi, scan defaults, sleep timer</t>
  </si>
  <si>
    <t>Supported user settings persist correctly after upgrade and device remains operational.</t>
  </si>
  <si>
    <t>Config persistence</t>
  </si>
  <si>
    <t>FWM-005</t>
  </si>
  <si>
    <t>Factory reset clears user settings but preserves secure recovery and onboarding readiness</t>
  </si>
  <si>
    <t>Printer has custom admin password and saved destinations configured.</t>
  </si>
  <si>
    <t>1. Perform factory reset from service/admin menu
2. Reboot
3. Review settings and onboarding flow</t>
  </si>
  <si>
    <t>Configured admin password and destinations</t>
  </si>
  <si>
    <t>User-configured settings are removed as designed, device returns to initial setup state, and no stale credentials remain.</t>
  </si>
  <si>
    <t>Reset behavior</t>
  </si>
  <si>
    <t>FWM-006</t>
  </si>
  <si>
    <t>Unsupported downgrade path is blocked or explicitly controlled</t>
  </si>
  <si>
    <t>Printer is on newer firmware than downgrade package.</t>
  </si>
  <si>
    <t>1. Attempt firmware downgrade using older package
2. Observe prompts and logs</t>
  </si>
  <si>
    <t>Firmware package older than installed version</t>
  </si>
  <si>
    <t>System blocks downgrade or requires explicit service procedure according to policy, with no unstable partial install.</t>
  </si>
  <si>
    <t>Version control</t>
  </si>
  <si>
    <t>MED-001</t>
  </si>
  <si>
    <t>Empty tray condition is detected before print start</t>
  </si>
  <si>
    <t>Selected tray is empty and printer is Ready.</t>
  </si>
  <si>
    <t>1. Submit print job that targets empty tray
2. Observe status</t>
  </si>
  <si>
    <t>A4 print job with empty Tray 1</t>
  </si>
  <si>
    <t>Printer detects out-of-paper state, stops before image transfer, and prompts for media load without corrupting the job.</t>
  </si>
  <si>
    <t>Pre-feed paper check</t>
  </si>
  <si>
    <t>MED-002</t>
  </si>
  <si>
    <t>Paper jam during print is reported with recoverable guidance</t>
  </si>
  <si>
    <t>Printer is printing multi-page job and jam scenario is simulated.</t>
  </si>
  <si>
    <t>1. Start multi-page print
2. Simulate jam in feed path
3. Clear jam
4. Resume or reprint</t>
  </si>
  <si>
    <t>10-page job with jam on page 3</t>
  </si>
  <si>
    <t>Device shows jam location guidance, preserves safe state, and resumes/restarts according to design without crash.</t>
  </si>
  <si>
    <t>Jam recovery</t>
  </si>
  <si>
    <t>MED-003</t>
  </si>
  <si>
    <t>Manual feed tray accepts envelope media when selected correctly</t>
  </si>
  <si>
    <t>Manual feed tray and envelope media are available.</t>
  </si>
  <si>
    <t>1. Submit envelope print job
2. Select manual feed and envelope media type
3. Print</t>
  </si>
  <si>
    <t>Envelope #10 / DL</t>
  </si>
  <si>
    <t>Printer prompts for manual feed as needed and prints envelope without skew or unsupported-media error.</t>
  </si>
  <si>
    <t>Special media</t>
  </si>
  <si>
    <t>MED-004</t>
  </si>
  <si>
    <t>Mismatched paper size between job and tray triggers clear prompt</t>
  </si>
  <si>
    <t>Tray loaded with Letter while job requests A4.</t>
  </si>
  <si>
    <t>1. Send A4 job
2. Ensure tray contains Letter
3. Observe prompt options</t>
  </si>
  <si>
    <t>A4 job, Letter media loaded</t>
  </si>
  <si>
    <t>Device prompts for load/override/cancel according to policy and does not silently misprint on wrong size without warning.</t>
  </si>
  <si>
    <t>Size mismatch</t>
  </si>
  <si>
    <t>MED-005</t>
  </si>
  <si>
    <t>Low toner or ink warning appears before depletion threshold is exceeded</t>
  </si>
  <si>
    <t>Consumable simulation or test cartridge state is available.</t>
  </si>
  <si>
    <t>1. Trigger low consumable threshold
2. Review panel and status interface</t>
  </si>
  <si>
    <t>Low toner/ink simulated state</t>
  </si>
  <si>
    <t>Warning appears consistently in UI/status channel while printing remains possible until critical threshold.</t>
  </si>
  <si>
    <t>Consumable alerts</t>
  </si>
  <si>
    <t>MED-006</t>
  </si>
  <si>
    <t>Output tray full condition prevents uncontrolled spill or silent job loss</t>
  </si>
  <si>
    <t>Output tray full sensor state can be simulated.</t>
  </si>
  <si>
    <t>1. Print continuous set until output tray full state is reached
2. Observe handling</t>
  </si>
  <si>
    <t>Large print run</t>
  </si>
  <si>
    <t>Device pauses or surfaces output-full condition appropriately and protects job integrity until user clears output path.</t>
  </si>
  <si>
    <t>Output capacity</t>
  </si>
  <si>
    <t>UI-001</t>
  </si>
  <si>
    <t>Home screen loads all primary functions without missing icons or labels</t>
  </si>
  <si>
    <t>Printer has completed boot sequence.</t>
  </si>
  <si>
    <t>1. Observe home screen after Ready state
2. Review Copy/Print/Scan/Network/Admin entries</t>
  </si>
  <si>
    <t>Home screen</t>
  </si>
  <si>
    <t>Primary functions are visible, readable, and selectable without rendering issues or missing assets.</t>
  </si>
  <si>
    <t>Baseline UI</t>
  </si>
  <si>
    <t>UI-002</t>
  </si>
  <si>
    <t>Touch response remains accurate across menu navigation</t>
  </si>
  <si>
    <t>Touch panel calibration is nominal.</t>
  </si>
  <si>
    <t>1. Open settings and scan menus
2. Select several items near screen edges
3. Return home</t>
  </si>
  <si>
    <t>Touch panel navigation</t>
  </si>
  <si>
    <t>Touches register accurately, no ghost taps occur, and navigation remains stable.</t>
  </si>
  <si>
    <t>Input responsiveness</t>
  </si>
  <si>
    <t>UI-003</t>
  </si>
  <si>
    <t>Invalid admin PIN attempt shows error without exposing secure menu</t>
  </si>
  <si>
    <t>Admin menu is protected by PIN.</t>
  </si>
  <si>
    <t>1. Open admin menu
2. Enter incorrect PIN
3. Observe outcome</t>
  </si>
  <si>
    <t>Invalid PIN</t>
  </si>
  <si>
    <t>Access is denied, secure menu remains hidden, and UI does not reveal sensitive configuration details.</t>
  </si>
  <si>
    <t>Secure access</t>
  </si>
  <si>
    <t>UI-004</t>
  </si>
  <si>
    <t>Language switch updates labels consistently after confirmation</t>
  </si>
  <si>
    <t>Multiple UI languages are installed.</t>
  </si>
  <si>
    <t>1. Change display language
2. Reopen major menus
3. Reboot if required and verify persistence</t>
  </si>
  <si>
    <t>Language: English to Filipino</t>
  </si>
  <si>
    <t>UI labels switch consistently, do not overlap/truncate badly, and selected language persists as designed.</t>
  </si>
  <si>
    <t>Localization</t>
  </si>
  <si>
    <t>UI-005</t>
  </si>
  <si>
    <t>Sleep and wake transitions preserve control-panel responsiveness</t>
  </si>
  <si>
    <t>Energy saver is enabled.</t>
  </si>
  <si>
    <t>1. Allow printer to enter sleep
2. Wake using panel or incoming job
3. Navigate menus</t>
  </si>
  <si>
    <t>Sleep timer active</t>
  </si>
  <si>
    <t>Device wakes within expected time and panel remains responsive without frozen or partially drawn screens.</t>
  </si>
  <si>
    <t>Power state UX</t>
  </si>
  <si>
    <t>SEC-001</t>
  </si>
  <si>
    <t>Administrative web console requires authentication before configuration access</t>
  </si>
  <si>
    <t>Embedded web server is enabled and reachable.</t>
  </si>
  <si>
    <t>1. Open admin web URL
2. Attempt access without login</t>
  </si>
  <si>
    <t>Admin URL</t>
  </si>
  <si>
    <t>Unauthenticated user is redirected to login or denied access; configuration data is not exposed.</t>
  </si>
  <si>
    <t>Web admin auth</t>
  </si>
  <si>
    <t>SEC-002</t>
  </si>
  <si>
    <t>Session timeout logs out idle authenticated admin session</t>
  </si>
  <si>
    <t>Admin user is logged into web console.</t>
  </si>
  <si>
    <t>1. Log in to admin console
2. Leave session idle beyond timeout
3. Attempt privileged action</t>
  </si>
  <si>
    <t>Idle authenticated session</t>
  </si>
  <si>
    <t>Session expires as configured and re-authentication is required before further privileged actions.</t>
  </si>
  <si>
    <t>Session management</t>
  </si>
  <si>
    <t>SEC-003</t>
  </si>
  <si>
    <t>TLS-enabled management endpoint rejects weak or invalid certificate path</t>
  </si>
  <si>
    <t>HTTPS management is enabled and certificate validation policy is set.</t>
  </si>
  <si>
    <t>1. Connect with weak/invalid certificate scenario in lab
2. Inspect client behavior and printer settings</t>
  </si>
  <si>
    <t>Invalid/expired certificate scenario</t>
  </si>
  <si>
    <t>Connection behavior matches policy, invalid certificate is surfaced appropriately, and sensitive data is not transmitted insecurely.</t>
  </si>
  <si>
    <t>Transport security</t>
  </si>
  <si>
    <t>SEC-004</t>
  </si>
  <si>
    <t>Stored scan destination credentials are masked in UI and export views</t>
  </si>
  <si>
    <t>At least one scan destination is configured.</t>
  </si>
  <si>
    <t>1. Open destination configuration
2. Inspect edit/view/export screens</t>
  </si>
  <si>
    <t>Stored SMB/email credentials</t>
  </si>
  <si>
    <t>Secrets remain masked or protected and are not shown in clear text to non-privileged users.</t>
  </si>
  <si>
    <t>Secret masking</t>
  </si>
  <si>
    <t>SEC-005</t>
  </si>
  <si>
    <t>Factory reset removes saved user credentials and address book entries</t>
  </si>
  <si>
    <t>Printer has saved destinations, address book, and admin session history.</t>
  </si>
  <si>
    <t>1. Confirm saved credentials/address book exist
2. Perform factory reset
3. Recheck storage and logs</t>
  </si>
  <si>
    <t>Saved SMB/email destinations</t>
  </si>
  <si>
    <t>Sensitive user data is removed according to policy and device returns to clean onboarding state.</t>
  </si>
  <si>
    <t>Data sanitization</t>
  </si>
  <si>
    <t>MON-001</t>
  </si>
  <si>
    <t>Status page reports Ready, Busy, and Error states consistently</t>
  </si>
  <si>
    <t>Status interface (panel, web, or API) is available.</t>
  </si>
  <si>
    <t>1. Capture state when idle
2. Start job and observe Busy
3. Trigger recoverable error and observe Error</t>
  </si>
  <si>
    <t>Idle/job/error states</t>
  </si>
  <si>
    <t>Reported device state changes match actual physical behavior with no stale or contradictory state.</t>
  </si>
  <si>
    <t>State accuracy</t>
  </si>
  <si>
    <t>MON-002</t>
  </si>
  <si>
    <t>Job history records print, copy, and scan jobs with stable identifiers</t>
  </si>
  <si>
    <t>History view is enabled and jobs can be executed.</t>
  </si>
  <si>
    <t>1. Run one print, one copy, one scan job
2. Open job history</t>
  </si>
  <si>
    <t>Three completed jobs</t>
  </si>
  <si>
    <t>History shows each job with stable ID, type, timestamp, and terminal status.</t>
  </si>
  <si>
    <t>Audit trail</t>
  </si>
  <si>
    <t>MON-003</t>
  </si>
  <si>
    <t>Consumable alert is reflected both on panel and management interface</t>
  </si>
  <si>
    <t>Low consumable state can be simulated.</t>
  </si>
  <si>
    <t>1. Trigger low toner/ink alert
2. Check panel
3. Check web/API status</t>
  </si>
  <si>
    <t>Low consumable simulated state</t>
  </si>
  <si>
    <t>Alert appears consistently across local and remote status surfaces within expected sync interval.</t>
  </si>
  <si>
    <t>Cross-channel alerting</t>
  </si>
  <si>
    <t>MON-004</t>
  </si>
  <si>
    <t>Recoverable fault clears from status after operator resolution</t>
  </si>
  <si>
    <t>Jam or cover-open condition can be simulated.</t>
  </si>
  <si>
    <t>1. Trigger recoverable fault
2. Clear condition
3. Refresh status surfaces</t>
  </si>
  <si>
    <t>Jam or cover-open event</t>
  </si>
  <si>
    <t>Fault is removed after resolution and printer returns to Ready without stale persistent alert.</t>
  </si>
  <si>
    <t>Fault clear</t>
  </si>
  <si>
    <t>MON-005</t>
  </si>
  <si>
    <t>Firmware event log stores update attempt result with timestamp</t>
  </si>
  <si>
    <t>Firmware update path is available.</t>
  </si>
  <si>
    <t>1. Attempt one successful or failed update
2. Review logs/history</t>
  </si>
  <si>
    <t>Firmware event entry</t>
  </si>
  <si>
    <t>Event log records update attempt, result, and timestamp for service traceability.</t>
  </si>
  <si>
    <t>Service logs</t>
  </si>
  <si>
    <t>PRF-001</t>
  </si>
  <si>
    <t>Cold boot reaches Ready state within target threshold</t>
  </si>
  <si>
    <t>Printer is powered off and baseline environment is stable.</t>
  </si>
  <si>
    <t>1. Power on device
2. Measure time until Ready state and key services available</t>
  </si>
  <si>
    <t>Cold boot condition</t>
  </si>
  <si>
    <t>Printer reaches Ready state within agreed threshold and no critical boot error is logged.</t>
  </si>
  <si>
    <t>Boot KPI</t>
  </si>
  <si>
    <t>PRF-002</t>
  </si>
  <si>
    <t>50-page print run completes without reset or memory leak symptoms</t>
  </si>
  <si>
    <t>Printer has enough paper and consumables for continuous run.</t>
  </si>
  <si>
    <t>1. Submit 50-page mixed-content job
2. Monitor device responsiveness and job completion</t>
  </si>
  <si>
    <t>Mixed 50-page PDF</t>
  </si>
  <si>
    <t>Printer completes the run without crash, reset, or severe responsiveness degradation.</t>
  </si>
  <si>
    <t>Sustained print</t>
  </si>
  <si>
    <t>PRF-003</t>
  </si>
  <si>
    <t>Repeated scan jobs over 1 hour do not degrade throughput materially</t>
  </si>
  <si>
    <t>Printer is connected to scan destination and ADF is available.</t>
  </si>
  <si>
    <t>1. Execute repeated scan jobs for one hour
2. Track completion times and errors</t>
  </si>
  <si>
    <t>Batch scan packet reused</t>
  </si>
  <si>
    <t>Scan throughput remains within tolerance and no cumulative firmware instability appears.</t>
  </si>
  <si>
    <t>Soak test</t>
  </si>
  <si>
    <t>PRF-004</t>
  </si>
  <si>
    <t>Sleep-wake cycles repeated 20 times do not break network discoverability</t>
  </si>
  <si>
    <t>Printer is configured on network and sleep is enabled.</t>
  </si>
  <si>
    <t>1. Trigger repeated sleep/wake cycles
2. Discover printer after each wake</t>
  </si>
  <si>
    <t>20 sleep/wake iterations</t>
  </si>
  <si>
    <t>Device remains reachable and discoverable after repeated power-state transitions.</t>
  </si>
  <si>
    <t>Power-state reliability</t>
  </si>
  <si>
    <t>PRF-005</t>
  </si>
  <si>
    <t>Simultaneous remote status polling and print activity does not starve UI</t>
  </si>
  <si>
    <t>Remote management polling is configured and printer is active.</t>
  </si>
  <si>
    <t>1. Begin frequent status polling
2. Submit print job
3. Navigate control panel during job</t>
  </si>
  <si>
    <t>Status polling + active print job</t>
  </si>
  <si>
    <t>Device remains usable, status remains accurate, and no watchdog reset occurs under concurrent load.</t>
  </si>
  <si>
    <t>Concurrency</t>
  </si>
  <si>
    <t>E2E-001</t>
  </si>
  <si>
    <t>Newly onboarded network printer can print, scan, and copy in same session</t>
  </si>
  <si>
    <t>Printer is factory-reset and test workstation/network are ready.</t>
  </si>
  <si>
    <t>1. Perform initial network setup
2. Print a network job
3. Scan to folder
4. Run one copy job</t>
  </si>
  <si>
    <t>Onboarding credentials plus standard sample docs</t>
  </si>
  <si>
    <t>All core functions succeed end-to-end after first-time setup without requiring unsupported workarounds.</t>
  </si>
  <si>
    <t>Core AIO journey</t>
  </si>
  <si>
    <t>E2E-002</t>
  </si>
  <si>
    <t>Firmware upgrade followed by regression smoke confirms core functions remain intact</t>
  </si>
  <si>
    <t>Approved upgrade package is available.</t>
  </si>
  <si>
    <t>1. Record baseline version
2. Upgrade firmware
3. Run smoke: print, copy, scan, status check</t>
  </si>
  <si>
    <t>Firmware package + smoke files</t>
  </si>
  <si>
    <t>Printer upgrades successfully and core functions remain operational with expected settings and status reporting.</t>
  </si>
  <si>
    <t>Post-upgrade smoke</t>
  </si>
  <si>
    <t>E2E-003</t>
  </si>
  <si>
    <t>Jam recovery during mixed workload does not corrupt subsequent queued jobs</t>
  </si>
  <si>
    <t>Printer queue has multiple print/copy/scan tasks in sequence.</t>
  </si>
  <si>
    <t>1. Start print job
2. Trigger jam
3. Clear jam
4. Continue with remaining jobs</t>
  </si>
  <si>
    <t>Mixed queued workload</t>
  </si>
  <si>
    <t>After recovery, queue integrity is preserved and later jobs execute or fail according to design without hidden corruption.</t>
  </si>
  <si>
    <t>Queue resilience</t>
  </si>
  <si>
    <t>E2E-004</t>
  </si>
  <si>
    <t>Factory reset followed by reconfiguration restores service without stale user data</t>
  </si>
  <si>
    <t>Printer has prior admin setup and saved destinations.</t>
  </si>
  <si>
    <t>1. Verify prior user data exists
2. Perform factory reset
3. Reconfigure network and one destination
4. Validate print/scan</t>
  </si>
  <si>
    <t>Preloaded credentials and address book</t>
  </si>
  <si>
    <t>Device returns to clean state, stale user data is absent, and reconfigured services operate normally.</t>
  </si>
  <si>
    <t>Lifecycle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</si>
</sst>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FF"/>
      <name val="Calibri"/>
    </font>
    <font>
      <sz val="11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44">
    <dxf>
      <fill>
        <patternFill>
          <bgColor rgb="FFD9EAD3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EAD3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EAD3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EAD3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EAD3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EAD3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EAD3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EAD3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EAD3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EAD3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EAD3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21" sqref="B21"/>
    </sheetView>
  </sheetViews>
  <sheetFormatPr defaultRowHeight="14.4" x14ac:dyDescent="0.3"/>
  <cols>
    <col min="1" max="1" width="30" customWidth="1"/>
    <col min="2" max="2" width="72" customWidth="1"/>
    <col min="3" max="3" width="50" customWidth="1"/>
  </cols>
  <sheetData>
    <row r="1" spans="1:3" ht="18" x14ac:dyDescent="0.3">
      <c r="A1" s="13" t="s">
        <v>0</v>
      </c>
      <c r="B1" s="14"/>
      <c r="C1" s="15"/>
    </row>
    <row r="3" spans="1:3" ht="43.2" x14ac:dyDescent="0.3">
      <c r="A3" s="1" t="s">
        <v>1</v>
      </c>
      <c r="B3" s="2" t="s">
        <v>2</v>
      </c>
      <c r="C3" s="2"/>
    </row>
    <row r="4" spans="1:3" ht="28.8" x14ac:dyDescent="0.3">
      <c r="A4" s="1" t="s">
        <v>3</v>
      </c>
      <c r="B4" s="2" t="s">
        <v>4</v>
      </c>
      <c r="C4" s="2"/>
    </row>
    <row r="5" spans="1:3" ht="43.2" x14ac:dyDescent="0.3">
      <c r="A5" s="1" t="s">
        <v>5</v>
      </c>
      <c r="B5" s="2" t="s">
        <v>6</v>
      </c>
      <c r="C5" s="2"/>
    </row>
    <row r="6" spans="1:3" x14ac:dyDescent="0.3">
      <c r="A6" s="3" t="s">
        <v>7</v>
      </c>
      <c r="B6" s="4" t="s">
        <v>8</v>
      </c>
      <c r="C6" s="4"/>
    </row>
    <row r="7" spans="1:3" x14ac:dyDescent="0.3">
      <c r="A7" s="3" t="s">
        <v>9</v>
      </c>
      <c r="B7" s="4" t="s">
        <v>10</v>
      </c>
      <c r="C7" s="4"/>
    </row>
    <row r="8" spans="1:3" x14ac:dyDescent="0.3">
      <c r="A8" s="3" t="s">
        <v>11</v>
      </c>
      <c r="B8" s="4" t="s">
        <v>12</v>
      </c>
      <c r="C8" s="4"/>
    </row>
    <row r="10" spans="1:3" x14ac:dyDescent="0.3">
      <c r="A10" s="5" t="s">
        <v>13</v>
      </c>
      <c r="B10" s="5"/>
      <c r="C10" s="5"/>
    </row>
    <row r="11" spans="1:3" ht="28.8" x14ac:dyDescent="0.3">
      <c r="A11" s="6" t="s">
        <v>14</v>
      </c>
      <c r="B11" s="6" t="s">
        <v>15</v>
      </c>
      <c r="C11" s="6" t="s">
        <v>16</v>
      </c>
    </row>
    <row r="12" spans="1:3" ht="28.8" x14ac:dyDescent="0.3">
      <c r="A12" s="6" t="s">
        <v>17</v>
      </c>
      <c r="B12" s="6" t="s">
        <v>18</v>
      </c>
      <c r="C12" s="6" t="s">
        <v>19</v>
      </c>
    </row>
    <row r="13" spans="1:3" ht="28.8" x14ac:dyDescent="0.3">
      <c r="A13" s="6" t="s">
        <v>20</v>
      </c>
      <c r="B13" s="6" t="s">
        <v>21</v>
      </c>
      <c r="C13" s="6" t="s">
        <v>22</v>
      </c>
    </row>
    <row r="14" spans="1:3" ht="28.8" x14ac:dyDescent="0.3">
      <c r="A14" s="6" t="s">
        <v>23</v>
      </c>
      <c r="B14" s="6" t="s">
        <v>24</v>
      </c>
      <c r="C14" s="6" t="s">
        <v>25</v>
      </c>
    </row>
    <row r="15" spans="1:3" ht="28.8" x14ac:dyDescent="0.3">
      <c r="A15" s="6" t="s">
        <v>26</v>
      </c>
      <c r="B15" s="6" t="s">
        <v>27</v>
      </c>
      <c r="C15" s="6" t="s">
        <v>28</v>
      </c>
    </row>
    <row r="16" spans="1:3" x14ac:dyDescent="0.3">
      <c r="A16" s="6" t="s">
        <v>29</v>
      </c>
      <c r="B16" s="6" t="s">
        <v>30</v>
      </c>
      <c r="C16" s="6" t="s">
        <v>31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opLeftCell="A8" workbookViewId="0">
      <selection sqref="A1:XFD1048576"/>
    </sheetView>
  </sheetViews>
  <sheetFormatPr defaultRowHeight="14.4" x14ac:dyDescent="0.3"/>
  <cols>
    <col min="1" max="1" width="30" customWidth="1"/>
    <col min="2" max="2" width="22" customWidth="1"/>
    <col min="3" max="3" width="12" customWidth="1"/>
    <col min="4" max="4" width="24" customWidth="1"/>
    <col min="5" max="5" width="18" customWidth="1"/>
    <col min="6" max="6" width="22" customWidth="1"/>
  </cols>
  <sheetData>
    <row r="1" spans="1:6" ht="18" x14ac:dyDescent="0.3">
      <c r="A1" s="13" t="s">
        <v>32</v>
      </c>
      <c r="B1" s="14"/>
      <c r="C1" s="14"/>
      <c r="D1" s="14"/>
      <c r="E1" s="14"/>
      <c r="F1" s="15"/>
    </row>
    <row r="2" spans="1:6" x14ac:dyDescent="0.3">
      <c r="A2" s="16" t="s">
        <v>33</v>
      </c>
      <c r="B2" s="14"/>
      <c r="C2" s="14"/>
      <c r="D2" s="14"/>
      <c r="E2" s="14"/>
      <c r="F2" s="15"/>
    </row>
    <row r="4" spans="1:6" x14ac:dyDescent="0.3">
      <c r="A4" s="17" t="s">
        <v>34</v>
      </c>
      <c r="B4" s="14"/>
      <c r="C4" s="14"/>
      <c r="D4" s="14"/>
      <c r="E4" s="14"/>
      <c r="F4" s="15"/>
    </row>
    <row r="5" spans="1:6" x14ac:dyDescent="0.3">
      <c r="A5" s="7" t="s">
        <v>35</v>
      </c>
      <c r="B5" s="6" t="s">
        <v>8</v>
      </c>
      <c r="C5" s="6"/>
      <c r="D5" s="6"/>
      <c r="E5" s="6"/>
      <c r="F5" s="6"/>
    </row>
    <row r="6" spans="1:6" x14ac:dyDescent="0.3">
      <c r="A6" s="7" t="s">
        <v>36</v>
      </c>
      <c r="B6" s="6" t="s">
        <v>10</v>
      </c>
      <c r="C6" s="6"/>
      <c r="D6" s="6"/>
      <c r="E6" s="6"/>
      <c r="F6" s="6"/>
    </row>
    <row r="7" spans="1:6" x14ac:dyDescent="0.3">
      <c r="A7" s="7" t="s">
        <v>37</v>
      </c>
      <c r="B7" s="6" t="s">
        <v>38</v>
      </c>
      <c r="C7" s="6"/>
      <c r="D7" s="6"/>
      <c r="E7" s="6"/>
      <c r="F7" s="6"/>
    </row>
    <row r="8" spans="1:6" ht="43.2" x14ac:dyDescent="0.3">
      <c r="A8" s="7" t="s">
        <v>39</v>
      </c>
      <c r="B8" s="6" t="s">
        <v>12</v>
      </c>
      <c r="C8" s="6"/>
      <c r="D8" s="6"/>
      <c r="E8" s="6"/>
      <c r="F8" s="6"/>
    </row>
    <row r="10" spans="1:6" x14ac:dyDescent="0.3">
      <c r="A10" s="17" t="s">
        <v>40</v>
      </c>
      <c r="B10" s="14"/>
      <c r="C10" s="14"/>
      <c r="D10" s="14"/>
      <c r="E10" s="14"/>
      <c r="F10" s="15"/>
    </row>
    <row r="11" spans="1:6" x14ac:dyDescent="0.3">
      <c r="A11" s="8" t="s">
        <v>41</v>
      </c>
      <c r="B11" s="8" t="s">
        <v>42</v>
      </c>
      <c r="C11" s="8" t="s">
        <v>43</v>
      </c>
      <c r="D11" s="8" t="s">
        <v>44</v>
      </c>
      <c r="E11" s="8" t="s">
        <v>45</v>
      </c>
      <c r="F11" s="8" t="s">
        <v>46</v>
      </c>
    </row>
    <row r="12" spans="1:6" x14ac:dyDescent="0.3">
      <c r="A12" s="6" t="s">
        <v>47</v>
      </c>
      <c r="B12" s="6" t="s">
        <v>48</v>
      </c>
      <c r="C12" s="6">
        <f>COUNTA('10_Print_Functionality'!A:A)-2</f>
        <v>6</v>
      </c>
      <c r="D12" s="6">
        <f>COUNTIF('10_Print_Functionality'!H:H,"High")+COUNTIF('10_Print_Functionality'!H:H,"Critical")</f>
        <v>6</v>
      </c>
      <c r="E12" s="6">
        <f>COUNTIF('10_Print_Functionality'!I:I,"Negative")</f>
        <v>1</v>
      </c>
      <c r="F12" s="6">
        <f>COUNTIF('10_Print_Functionality'!J:J,"Yes")+COUNTIF('10_Print_Functionality'!J:J,"Later")</f>
        <v>6</v>
      </c>
    </row>
    <row r="13" spans="1:6" x14ac:dyDescent="0.3">
      <c r="A13" s="6" t="s">
        <v>49</v>
      </c>
      <c r="B13" s="6" t="s">
        <v>50</v>
      </c>
      <c r="C13" s="6">
        <f>COUNTA('20_Copy_Functionality'!A:A)-2</f>
        <v>6</v>
      </c>
      <c r="D13" s="6">
        <f>COUNTIF('20_Copy_Functionality'!H:H,"High")+COUNTIF('20_Copy_Functionality'!H:H,"Critical")</f>
        <v>4</v>
      </c>
      <c r="E13" s="6">
        <f>COUNTIF('20_Copy_Functionality'!I:I,"Negative")</f>
        <v>1</v>
      </c>
      <c r="F13" s="6">
        <f>COUNTIF('20_Copy_Functionality'!J:J,"Yes")+COUNTIF('20_Copy_Functionality'!J:J,"Later")</f>
        <v>5</v>
      </c>
    </row>
    <row r="14" spans="1:6" x14ac:dyDescent="0.3">
      <c r="A14" s="6" t="s">
        <v>51</v>
      </c>
      <c r="B14" s="6" t="s">
        <v>52</v>
      </c>
      <c r="C14" s="6">
        <f>COUNTA('30_Scan_Functionality'!A:A)-2</f>
        <v>6</v>
      </c>
      <c r="D14" s="6">
        <f>COUNTIF('30_Scan_Functionality'!H:H,"High")+COUNTIF('30_Scan_Functionality'!H:H,"Critical")</f>
        <v>5</v>
      </c>
      <c r="E14" s="6">
        <f>COUNTIF('30_Scan_Functionality'!I:I,"Negative")</f>
        <v>1</v>
      </c>
      <c r="F14" s="6">
        <f>COUNTIF('30_Scan_Functionality'!J:J,"Yes")+COUNTIF('30_Scan_Functionality'!J:J,"Later")</f>
        <v>6</v>
      </c>
    </row>
    <row r="15" spans="1:6" ht="28.8" x14ac:dyDescent="0.3">
      <c r="A15" s="6" t="s">
        <v>53</v>
      </c>
      <c r="B15" s="6" t="s">
        <v>54</v>
      </c>
      <c r="C15" s="6">
        <f>COUNTA('40_Network_Connectivity'!A:A)-2</f>
        <v>6</v>
      </c>
      <c r="D15" s="6">
        <f>COUNTIF('40_Network_Connectivity'!H:H,"High")+COUNTIF('40_Network_Connectivity'!H:H,"Critical")</f>
        <v>5</v>
      </c>
      <c r="E15" s="6">
        <f>COUNTIF('40_Network_Connectivity'!I:I,"Negative")</f>
        <v>3</v>
      </c>
      <c r="F15" s="6">
        <f>COUNTIF('40_Network_Connectivity'!J:J,"Yes")+COUNTIF('40_Network_Connectivity'!J:J,"Later")</f>
        <v>2</v>
      </c>
    </row>
    <row r="16" spans="1:6" ht="28.8" x14ac:dyDescent="0.3">
      <c r="A16" s="6" t="s">
        <v>55</v>
      </c>
      <c r="B16" s="6" t="s">
        <v>56</v>
      </c>
      <c r="C16" s="6">
        <f>COUNTA('50_Firmware_Configuration'!A:A)-2</f>
        <v>6</v>
      </c>
      <c r="D16" s="6">
        <f>COUNTIF('50_Firmware_Configuration'!H:H,"High")+COUNTIF('50_Firmware_Configuration'!H:H,"Critical")</f>
        <v>5</v>
      </c>
      <c r="E16" s="6">
        <f>COUNTIF('50_Firmware_Configuration'!I:I,"Negative")</f>
        <v>2</v>
      </c>
      <c r="F16" s="6">
        <f>COUNTIF('50_Firmware_Configuration'!J:J,"Yes")+COUNTIF('50_Firmware_Configuration'!J:J,"Later")</f>
        <v>2</v>
      </c>
    </row>
    <row r="17" spans="1:6" ht="28.8" x14ac:dyDescent="0.3">
      <c r="A17" s="6" t="s">
        <v>57</v>
      </c>
      <c r="B17" s="6" t="s">
        <v>58</v>
      </c>
      <c r="C17" s="6">
        <f>COUNTA('60_Paper_Handling_Media'!A:A)-2</f>
        <v>6</v>
      </c>
      <c r="D17" s="6">
        <f>COUNTIF('60_Paper_Handling_Media'!H:H,"High")+COUNTIF('60_Paper_Handling_Media'!H:H,"Critical")</f>
        <v>3</v>
      </c>
      <c r="E17" s="6">
        <f>COUNTIF('60_Paper_Handling_Media'!I:I,"Negative")</f>
        <v>3</v>
      </c>
      <c r="F17" s="6">
        <f>COUNTIF('60_Paper_Handling_Media'!J:J,"Yes")+COUNTIF('60_Paper_Handling_Media'!J:J,"Later")</f>
        <v>3</v>
      </c>
    </row>
    <row r="18" spans="1:6" x14ac:dyDescent="0.3">
      <c r="A18" s="6" t="s">
        <v>59</v>
      </c>
      <c r="B18" s="6" t="s">
        <v>60</v>
      </c>
      <c r="C18" s="6">
        <f>COUNTA('70_UI_Control_Panel'!A:A)-2</f>
        <v>5</v>
      </c>
      <c r="D18" s="6">
        <f>COUNTIF('70_UI_Control_Panel'!H:H,"High")+COUNTIF('70_UI_Control_Panel'!H:H,"Critical")</f>
        <v>4</v>
      </c>
      <c r="E18" s="6">
        <f>COUNTIF('70_UI_Control_Panel'!I:I,"Negative")</f>
        <v>0</v>
      </c>
      <c r="F18" s="6">
        <f>COUNTIF('70_UI_Control_Panel'!J:J,"Yes")+COUNTIF('70_UI_Control_Panel'!J:J,"Later")</f>
        <v>3</v>
      </c>
    </row>
    <row r="19" spans="1:6" x14ac:dyDescent="0.3">
      <c r="A19" s="6" t="s">
        <v>61</v>
      </c>
      <c r="B19" s="6" t="s">
        <v>62</v>
      </c>
      <c r="C19" s="6">
        <f>COUNTA('80_Security_Access'!A:A)-2</f>
        <v>5</v>
      </c>
      <c r="D19" s="6">
        <f>COUNTIF('80_Security_Access'!H:H,"High")+COUNTIF('80_Security_Access'!H:H,"Critical")</f>
        <v>4</v>
      </c>
      <c r="E19" s="6">
        <f>COUNTIF('80_Security_Access'!I:I,"Negative")</f>
        <v>0</v>
      </c>
      <c r="F19" s="6">
        <f>COUNTIF('80_Security_Access'!J:J,"Yes")+COUNTIF('80_Security_Access'!J:J,"Later")</f>
        <v>3</v>
      </c>
    </row>
    <row r="20" spans="1:6" x14ac:dyDescent="0.3">
      <c r="A20" s="6" t="s">
        <v>63</v>
      </c>
      <c r="B20" s="6" t="s">
        <v>64</v>
      </c>
      <c r="C20" s="6">
        <f>COUNTA('90_Monitoring_Alerts'!A:A)-2</f>
        <v>5</v>
      </c>
      <c r="D20" s="6">
        <f>COUNTIF('90_Monitoring_Alerts'!H:H,"High")+COUNTIF('90_Monitoring_Alerts'!H:H,"Critical")</f>
        <v>3</v>
      </c>
      <c r="E20" s="6">
        <f>COUNTIF('90_Monitoring_Alerts'!I:I,"Negative")</f>
        <v>0</v>
      </c>
      <c r="F20" s="6">
        <f>COUNTIF('90_Monitoring_Alerts'!J:J,"Yes")+COUNTIF('90_Monitoring_Alerts'!J:J,"Later")</f>
        <v>5</v>
      </c>
    </row>
    <row r="21" spans="1:6" ht="28.8" x14ac:dyDescent="0.3">
      <c r="A21" s="6" t="s">
        <v>65</v>
      </c>
      <c r="B21" s="6" t="s">
        <v>66</v>
      </c>
      <c r="C21" s="6">
        <f>COUNTA('100_Performance_Reliability'!A:A)-2</f>
        <v>5</v>
      </c>
      <c r="D21" s="6">
        <f>COUNTIF('100_Performance_Reliability'!H:H,"High")+COUNTIF('100_Performance_Reliability'!H:H,"Critical")</f>
        <v>4</v>
      </c>
      <c r="E21" s="6">
        <f>COUNTIF('100_Performance_Reliability'!I:I,"Negative")</f>
        <v>0</v>
      </c>
      <c r="F21" s="6">
        <f>COUNTIF('100_Performance_Reliability'!J:J,"Yes")+COUNTIF('100_Performance_Reliability'!J:J,"Later")</f>
        <v>3</v>
      </c>
    </row>
    <row r="22" spans="1:6" x14ac:dyDescent="0.3">
      <c r="A22" s="6" t="s">
        <v>67</v>
      </c>
      <c r="B22" s="6" t="s">
        <v>68</v>
      </c>
      <c r="C22" s="6">
        <f>COUNTA('110_E2E'!A:A)-2</f>
        <v>4</v>
      </c>
      <c r="D22" s="6">
        <f>COUNTIF('110_E2E'!H:H,"High")+COUNTIF('110_E2E'!H:H,"Critical")</f>
        <v>4</v>
      </c>
      <c r="E22" s="6">
        <f>COUNTIF('110_E2E'!I:I,"Negative")</f>
        <v>0</v>
      </c>
      <c r="F22" s="6">
        <f>COUNTIF('110_E2E'!J:J,"Yes")+COUNTIF('110_E2E'!J:J,"Later")</f>
        <v>1</v>
      </c>
    </row>
    <row r="23" spans="1:6" x14ac:dyDescent="0.3">
      <c r="A23" s="1" t="s">
        <v>69</v>
      </c>
      <c r="B23" s="1"/>
      <c r="C23" s="1">
        <f>SUM(C12:C22)</f>
        <v>60</v>
      </c>
      <c r="D23" s="1">
        <f>SUM(D12:D22)</f>
        <v>47</v>
      </c>
      <c r="E23" s="1">
        <f>SUM(E12:E22)</f>
        <v>11</v>
      </c>
      <c r="F23" s="1">
        <f>SUM(F12:F22)</f>
        <v>39</v>
      </c>
    </row>
    <row r="25" spans="1:6" x14ac:dyDescent="0.3">
      <c r="A25" s="17" t="s">
        <v>70</v>
      </c>
      <c r="B25" s="14"/>
      <c r="C25" s="14"/>
      <c r="D25" s="14"/>
      <c r="E25" s="14"/>
      <c r="F25" s="15"/>
    </row>
    <row r="26" spans="1:6" x14ac:dyDescent="0.3">
      <c r="A26" s="8" t="s">
        <v>71</v>
      </c>
      <c r="B26" s="8" t="s">
        <v>72</v>
      </c>
      <c r="C26" s="8" t="s">
        <v>73</v>
      </c>
      <c r="D26" s="8" t="s">
        <v>74</v>
      </c>
      <c r="E26" s="8" t="s">
        <v>75</v>
      </c>
      <c r="F26" s="8" t="s">
        <v>73</v>
      </c>
    </row>
    <row r="27" spans="1:6" x14ac:dyDescent="0.3">
      <c r="A27" s="6" t="s">
        <v>8</v>
      </c>
      <c r="B27" s="6">
        <f>COUNTIF('10_Print_Functionality'!K:K,"Not Run")+COUNTIF('20_Copy_Functionality'!K:K,"Not Run")+COUNTIF('30_Scan_Functionality'!K:K,"Not Run")+COUNTIF('40_Network_Connectivity'!K:K,"Not Run")+COUNTIF('50_Firmware_Configuration'!K:K,"Not Run")+COUNTIF('60_Paper_Handling_Media'!K:K,"Not Run")+COUNTIF('70_UI_Control_Panel'!K:K,"Not Run")+COUNTIF('80_Security_Access'!K:K,"Not Run")+COUNTIF('90_Monitoring_Alerts'!K:K,"Not Run")+COUNTIF('100_Performance_Reliability'!K:K,"Not Run")+COUNTIF('110_E2E'!K:K,"Not Run")</f>
        <v>60</v>
      </c>
      <c r="D27" s="6" t="s">
        <v>76</v>
      </c>
      <c r="E27" s="6">
        <f>C23</f>
        <v>60</v>
      </c>
    </row>
    <row r="28" spans="1:6" x14ac:dyDescent="0.3">
      <c r="A28" s="6" t="s">
        <v>77</v>
      </c>
      <c r="B28" s="6">
        <f>COUNTIF('10_Print_Functionality'!K:K,"Pass")+COUNTIF('20_Copy_Functionality'!K:K,"Pass")+COUNTIF('30_Scan_Functionality'!K:K,"Pass")+COUNTIF('40_Network_Connectivity'!K:K,"Pass")+COUNTIF('50_Firmware_Configuration'!K:K,"Pass")+COUNTIF('60_Paper_Handling_Media'!K:K,"Pass")+COUNTIF('70_UI_Control_Panel'!K:K,"Pass")+COUNTIF('80_Security_Access'!K:K,"Pass")+COUNTIF('90_Monitoring_Alerts'!K:K,"Pass")+COUNTIF('100_Performance_Reliability'!K:K,"Pass")+COUNTIF('110_E2E'!K:K,"Pass")</f>
        <v>0</v>
      </c>
      <c r="D28" s="6" t="s">
        <v>78</v>
      </c>
      <c r="E28" s="6">
        <f>B28+B29+B30</f>
        <v>0</v>
      </c>
    </row>
    <row r="29" spans="1:6" x14ac:dyDescent="0.3">
      <c r="A29" s="6" t="s">
        <v>79</v>
      </c>
      <c r="B29" s="6">
        <f>COUNTIF('10_Print_Functionality'!K:K,"Fail")+COUNTIF('20_Copy_Functionality'!K:K,"Fail")+COUNTIF('30_Scan_Functionality'!K:K,"Fail")+COUNTIF('40_Network_Connectivity'!K:K,"Fail")+COUNTIF('50_Firmware_Configuration'!K:K,"Fail")+COUNTIF('60_Paper_Handling_Media'!K:K,"Fail")+COUNTIF('70_UI_Control_Panel'!K:K,"Fail")+COUNTIF('80_Security_Access'!K:K,"Fail")+COUNTIF('90_Monitoring_Alerts'!K:K,"Fail")+COUNTIF('100_Performance_Reliability'!K:K,"Fail")+COUNTIF('110_E2E'!K:K,"Fail")</f>
        <v>0</v>
      </c>
      <c r="D29" s="6" t="s">
        <v>80</v>
      </c>
      <c r="E29" s="9">
        <f>IF(E27=0,0,E28/E27)</f>
        <v>0</v>
      </c>
    </row>
    <row r="30" spans="1:6" x14ac:dyDescent="0.3">
      <c r="A30" s="6" t="s">
        <v>81</v>
      </c>
      <c r="B30" s="6">
        <f>COUNTIF('10_Print_Functionality'!K:K,"Blocked")+COUNTIF('20_Copy_Functionality'!K:K,"Blocked")+COUNTIF('30_Scan_Functionality'!K:K,"Blocked")+COUNTIF('40_Network_Connectivity'!K:K,"Blocked")+COUNTIF('50_Firmware_Configuration'!K:K,"Blocked")+COUNTIF('60_Paper_Handling_Media'!K:K,"Blocked")+COUNTIF('70_UI_Control_Panel'!K:K,"Blocked")+COUNTIF('80_Security_Access'!K:K,"Blocked")+COUNTIF('90_Monitoring_Alerts'!K:K,"Blocked")+COUNTIF('100_Performance_Reliability'!K:K,"Blocked")+COUNTIF('110_E2E'!K:K,"Blocked")</f>
        <v>0</v>
      </c>
      <c r="D30" s="6" t="s">
        <v>82</v>
      </c>
      <c r="E30" s="9">
        <f>IF(E28=0,0,B28/E28)</f>
        <v>0</v>
      </c>
    </row>
    <row r="31" spans="1:6" x14ac:dyDescent="0.3">
      <c r="D31" s="6" t="s">
        <v>83</v>
      </c>
      <c r="E31" s="9">
        <f>IF(E28=0,0,B29/E28)</f>
        <v>0</v>
      </c>
    </row>
  </sheetData>
  <mergeCells count="5">
    <mergeCell ref="A2:F2"/>
    <mergeCell ref="A10:F10"/>
    <mergeCell ref="A1:F1"/>
    <mergeCell ref="A4:F4"/>
    <mergeCell ref="A25:F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C22" sqref="A1:XFD1048576"/>
    </sheetView>
  </sheetViews>
  <sheetFormatPr defaultRowHeight="14.4" x14ac:dyDescent="0.3"/>
  <cols>
    <col min="1" max="3" width="14" customWidth="1"/>
    <col min="4" max="4" width="16" customWidth="1"/>
  </cols>
  <sheetData>
    <row r="1" spans="1:4" x14ac:dyDescent="0.3">
      <c r="A1" s="4" t="s">
        <v>8</v>
      </c>
      <c r="B1" s="4" t="s">
        <v>84</v>
      </c>
      <c r="C1" s="4" t="s">
        <v>85</v>
      </c>
      <c r="D1" s="4" t="s">
        <v>86</v>
      </c>
    </row>
    <row r="2" spans="1:4" x14ac:dyDescent="0.3">
      <c r="A2" s="4" t="s">
        <v>77</v>
      </c>
      <c r="B2" s="4" t="s">
        <v>10</v>
      </c>
      <c r="C2" s="4" t="s">
        <v>87</v>
      </c>
      <c r="D2" s="4" t="s">
        <v>88</v>
      </c>
    </row>
    <row r="3" spans="1:4" x14ac:dyDescent="0.3">
      <c r="A3" s="4" t="s">
        <v>79</v>
      </c>
      <c r="B3" s="4" t="s">
        <v>89</v>
      </c>
      <c r="C3" s="4" t="s">
        <v>90</v>
      </c>
      <c r="D3" s="4" t="s">
        <v>91</v>
      </c>
    </row>
    <row r="4" spans="1:4" x14ac:dyDescent="0.3">
      <c r="A4" s="4" t="s">
        <v>81</v>
      </c>
      <c r="B4" s="4" t="s">
        <v>92</v>
      </c>
      <c r="C4" s="4"/>
      <c r="D4" s="4" t="s">
        <v>93</v>
      </c>
    </row>
    <row r="5" spans="1:4" x14ac:dyDescent="0.3">
      <c r="A5" s="4"/>
      <c r="B5" s="4"/>
      <c r="C5" s="4"/>
      <c r="D5" s="4" t="s">
        <v>94</v>
      </c>
    </row>
    <row r="6" spans="1:4" x14ac:dyDescent="0.3">
      <c r="A6" s="4"/>
      <c r="B6" s="4"/>
      <c r="C6" s="4"/>
      <c r="D6" s="4" t="s">
        <v>95</v>
      </c>
    </row>
    <row r="7" spans="1:4" x14ac:dyDescent="0.3">
      <c r="A7" s="4"/>
      <c r="B7" s="4"/>
      <c r="C7" s="4"/>
      <c r="D7" s="4" t="s">
        <v>96</v>
      </c>
    </row>
    <row r="8" spans="1:4" x14ac:dyDescent="0.3">
      <c r="A8" s="4"/>
      <c r="B8" s="4"/>
      <c r="C8" s="4"/>
      <c r="D8" s="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topLeftCell="D1" workbookViewId="0">
      <selection activeCell="D15" sqref="D15:D16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28" customWidth="1"/>
    <col min="5" max="5" width="42" customWidth="1"/>
    <col min="6" max="6" width="22" customWidth="1"/>
    <col min="7" max="7" width="38" customWidth="1"/>
    <col min="8" max="8" width="11" customWidth="1"/>
    <col min="9" max="9" width="14" customWidth="1"/>
    <col min="10" max="10" width="20" customWidth="1"/>
    <col min="11" max="11" width="12" customWidth="1"/>
    <col min="12" max="12" width="20" customWidth="1"/>
  </cols>
  <sheetData>
    <row r="1" spans="1:13" x14ac:dyDescent="0.3">
      <c r="A1" s="16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x14ac:dyDescent="0.3">
      <c r="A2" s="8" t="s">
        <v>99</v>
      </c>
      <c r="B2" s="8" t="s">
        <v>41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71</v>
      </c>
      <c r="L2" s="8" t="s">
        <v>108</v>
      </c>
    </row>
    <row r="3" spans="1:13" ht="43.2" x14ac:dyDescent="0.3">
      <c r="A3" s="10" t="s">
        <v>109</v>
      </c>
      <c r="B3" s="10" t="s">
        <v>47</v>
      </c>
      <c r="C3" s="10" t="s">
        <v>110</v>
      </c>
      <c r="D3" s="10" t="s">
        <v>111</v>
      </c>
      <c r="E3" s="10" t="s">
        <v>112</v>
      </c>
      <c r="F3" s="10" t="s">
        <v>113</v>
      </c>
      <c r="G3" s="10" t="s">
        <v>114</v>
      </c>
      <c r="H3" s="11" t="s">
        <v>10</v>
      </c>
      <c r="I3" s="11" t="s">
        <v>86</v>
      </c>
      <c r="J3" s="11" t="s">
        <v>87</v>
      </c>
      <c r="K3" s="12" t="s">
        <v>8</v>
      </c>
      <c r="L3" s="12" t="s">
        <v>115</v>
      </c>
    </row>
    <row r="4" spans="1:13" ht="43.2" x14ac:dyDescent="0.3">
      <c r="A4" s="10" t="s">
        <v>116</v>
      </c>
      <c r="B4" s="10" t="s">
        <v>47</v>
      </c>
      <c r="C4" s="10" t="s">
        <v>117</v>
      </c>
      <c r="D4" s="10" t="s">
        <v>118</v>
      </c>
      <c r="E4" s="10" t="s">
        <v>119</v>
      </c>
      <c r="F4" s="10" t="s">
        <v>120</v>
      </c>
      <c r="G4" s="10" t="s">
        <v>121</v>
      </c>
      <c r="H4" s="11" t="s">
        <v>84</v>
      </c>
      <c r="I4" s="11" t="s">
        <v>93</v>
      </c>
      <c r="J4" s="11" t="s">
        <v>85</v>
      </c>
      <c r="K4" s="12" t="s">
        <v>8</v>
      </c>
      <c r="L4" s="12" t="s">
        <v>122</v>
      </c>
    </row>
    <row r="5" spans="1:13" ht="43.2" x14ac:dyDescent="0.3">
      <c r="A5" s="10" t="s">
        <v>123</v>
      </c>
      <c r="B5" s="10" t="s">
        <v>47</v>
      </c>
      <c r="C5" s="10" t="s">
        <v>124</v>
      </c>
      <c r="D5" s="10" t="s">
        <v>125</v>
      </c>
      <c r="E5" s="10" t="s">
        <v>126</v>
      </c>
      <c r="F5" s="10" t="s">
        <v>127</v>
      </c>
      <c r="G5" s="10" t="s">
        <v>128</v>
      </c>
      <c r="H5" s="11" t="s">
        <v>10</v>
      </c>
      <c r="I5" s="11" t="s">
        <v>88</v>
      </c>
      <c r="J5" s="11" t="s">
        <v>85</v>
      </c>
      <c r="K5" s="12" t="s">
        <v>8</v>
      </c>
      <c r="L5" s="12" t="s">
        <v>129</v>
      </c>
    </row>
    <row r="6" spans="1:13" ht="43.2" x14ac:dyDescent="0.3">
      <c r="A6" s="10" t="s">
        <v>130</v>
      </c>
      <c r="B6" s="10" t="s">
        <v>47</v>
      </c>
      <c r="C6" s="10" t="s">
        <v>131</v>
      </c>
      <c r="D6" s="10" t="s">
        <v>132</v>
      </c>
      <c r="E6" s="10" t="s">
        <v>133</v>
      </c>
      <c r="F6" s="10" t="s">
        <v>134</v>
      </c>
      <c r="G6" s="10" t="s">
        <v>135</v>
      </c>
      <c r="H6" s="11" t="s">
        <v>10</v>
      </c>
      <c r="I6" s="11" t="s">
        <v>91</v>
      </c>
      <c r="J6" s="11" t="s">
        <v>87</v>
      </c>
      <c r="K6" s="12" t="s">
        <v>8</v>
      </c>
      <c r="L6" s="12" t="s">
        <v>136</v>
      </c>
    </row>
    <row r="7" spans="1:13" ht="57.6" x14ac:dyDescent="0.3">
      <c r="A7" s="10" t="s">
        <v>137</v>
      </c>
      <c r="B7" s="10" t="s">
        <v>47</v>
      </c>
      <c r="C7" s="10" t="s">
        <v>138</v>
      </c>
      <c r="D7" s="10" t="s">
        <v>139</v>
      </c>
      <c r="E7" s="10" t="s">
        <v>140</v>
      </c>
      <c r="F7" s="10" t="s">
        <v>141</v>
      </c>
      <c r="G7" s="10" t="s">
        <v>142</v>
      </c>
      <c r="H7" s="11" t="s">
        <v>84</v>
      </c>
      <c r="I7" s="11" t="s">
        <v>96</v>
      </c>
      <c r="J7" s="11" t="s">
        <v>87</v>
      </c>
      <c r="K7" s="12" t="s">
        <v>8</v>
      </c>
      <c r="L7" s="12" t="s">
        <v>143</v>
      </c>
    </row>
    <row r="8" spans="1:13" ht="43.2" x14ac:dyDescent="0.3">
      <c r="A8" s="10" t="s">
        <v>144</v>
      </c>
      <c r="B8" s="10" t="s">
        <v>47</v>
      </c>
      <c r="C8" s="10" t="s">
        <v>145</v>
      </c>
      <c r="D8" s="10" t="s">
        <v>146</v>
      </c>
      <c r="E8" s="10" t="s">
        <v>147</v>
      </c>
      <c r="F8" s="10" t="s">
        <v>148</v>
      </c>
      <c r="G8" s="10" t="s">
        <v>149</v>
      </c>
      <c r="H8" s="11" t="s">
        <v>10</v>
      </c>
      <c r="I8" s="11" t="s">
        <v>97</v>
      </c>
      <c r="J8" s="11" t="s">
        <v>85</v>
      </c>
      <c r="K8" s="12" t="s">
        <v>8</v>
      </c>
      <c r="L8" s="12" t="s">
        <v>150</v>
      </c>
    </row>
  </sheetData>
  <mergeCells count="1">
    <mergeCell ref="A1:M1"/>
  </mergeCells>
  <conditionalFormatting sqref="K3:K8">
    <cfRule type="expression" dxfId="43" priority="1">
      <formula>$K3="Pass"</formula>
    </cfRule>
    <cfRule type="expression" dxfId="42" priority="2">
      <formula>$K3="Fail"</formula>
    </cfRule>
    <cfRule type="expression" dxfId="41" priority="3">
      <formula>$K3="Blocked"</formula>
    </cfRule>
    <cfRule type="expression" dxfId="40" priority="4">
      <formula>$K3="Not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300-000000000000}">
          <x14:formula1>
            <xm:f>Lists!$B$1:$B$4</xm:f>
          </x14:formula1>
          <xm:sqref>H3:H8</xm:sqref>
        </x14:dataValidation>
        <x14:dataValidation type="list" xr:uid="{00000000-0002-0000-0300-000001000000}">
          <x14:formula1>
            <xm:f>Lists!$D$1:$D$8</xm:f>
          </x14:formula1>
          <xm:sqref>I3:I8</xm:sqref>
        </x14:dataValidation>
        <x14:dataValidation type="list" xr:uid="{00000000-0002-0000-0300-000002000000}">
          <x14:formula1>
            <xm:f>Lists!$C$1:$C$3</xm:f>
          </x14:formula1>
          <xm:sqref>J3:J8</xm:sqref>
        </x14:dataValidation>
        <x14:dataValidation type="list" xr:uid="{00000000-0002-0000-0300-000003000000}">
          <x14:formula1>
            <xm:f>Lists!$A$1:$A$4</xm:f>
          </x14:formula1>
          <xm:sqref>K3:K8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"/>
  <sheetViews>
    <sheetView topLeftCell="D1" workbookViewId="0">
      <selection sqref="A1:XFD1048576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28" customWidth="1"/>
    <col min="5" max="5" width="42" customWidth="1"/>
    <col min="6" max="6" width="22" customWidth="1"/>
    <col min="7" max="7" width="38" customWidth="1"/>
    <col min="8" max="8" width="11" customWidth="1"/>
    <col min="9" max="9" width="14" customWidth="1"/>
    <col min="10" max="10" width="20" customWidth="1"/>
    <col min="11" max="11" width="12" customWidth="1"/>
    <col min="12" max="12" width="20" customWidth="1"/>
  </cols>
  <sheetData>
    <row r="1" spans="1:13" x14ac:dyDescent="0.3">
      <c r="A1" s="16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x14ac:dyDescent="0.3">
      <c r="A2" s="8" t="s">
        <v>99</v>
      </c>
      <c r="B2" s="8" t="s">
        <v>41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71</v>
      </c>
      <c r="L2" s="8" t="s">
        <v>108</v>
      </c>
    </row>
    <row r="3" spans="1:13" ht="43.2" x14ac:dyDescent="0.3">
      <c r="A3" s="10" t="s">
        <v>151</v>
      </c>
      <c r="B3" s="10" t="s">
        <v>49</v>
      </c>
      <c r="C3" s="10" t="s">
        <v>152</v>
      </c>
      <c r="D3" s="10" t="s">
        <v>153</v>
      </c>
      <c r="E3" s="10" t="s">
        <v>154</v>
      </c>
      <c r="F3" s="10" t="s">
        <v>155</v>
      </c>
      <c r="G3" s="10" t="s">
        <v>156</v>
      </c>
      <c r="H3" s="11" t="s">
        <v>10</v>
      </c>
      <c r="I3" s="11" t="s">
        <v>86</v>
      </c>
      <c r="J3" s="11" t="s">
        <v>87</v>
      </c>
      <c r="K3" s="12" t="s">
        <v>8</v>
      </c>
      <c r="L3" s="12" t="s">
        <v>157</v>
      </c>
    </row>
    <row r="4" spans="1:13" ht="43.2" x14ac:dyDescent="0.3">
      <c r="A4" s="10" t="s">
        <v>158</v>
      </c>
      <c r="B4" s="10" t="s">
        <v>49</v>
      </c>
      <c r="C4" s="10" t="s">
        <v>159</v>
      </c>
      <c r="D4" s="10" t="s">
        <v>160</v>
      </c>
      <c r="E4" s="10" t="s">
        <v>161</v>
      </c>
      <c r="F4" s="10" t="s">
        <v>162</v>
      </c>
      <c r="G4" s="10" t="s">
        <v>163</v>
      </c>
      <c r="H4" s="11" t="s">
        <v>84</v>
      </c>
      <c r="I4" s="11" t="s">
        <v>93</v>
      </c>
      <c r="J4" s="11" t="s">
        <v>87</v>
      </c>
      <c r="K4" s="12" t="s">
        <v>8</v>
      </c>
      <c r="L4" s="12" t="s">
        <v>164</v>
      </c>
    </row>
    <row r="5" spans="1:13" ht="43.2" x14ac:dyDescent="0.3">
      <c r="A5" s="10" t="s">
        <v>165</v>
      </c>
      <c r="B5" s="10" t="s">
        <v>49</v>
      </c>
      <c r="C5" s="10" t="s">
        <v>166</v>
      </c>
      <c r="D5" s="10" t="s">
        <v>167</v>
      </c>
      <c r="E5" s="10" t="s">
        <v>168</v>
      </c>
      <c r="F5" s="10" t="s">
        <v>169</v>
      </c>
      <c r="G5" s="10" t="s">
        <v>170</v>
      </c>
      <c r="H5" s="11" t="s">
        <v>10</v>
      </c>
      <c r="I5" s="11" t="s">
        <v>91</v>
      </c>
      <c r="J5" s="11" t="s">
        <v>85</v>
      </c>
      <c r="K5" s="12" t="s">
        <v>8</v>
      </c>
      <c r="L5" s="12" t="s">
        <v>171</v>
      </c>
    </row>
    <row r="6" spans="1:13" ht="43.2" x14ac:dyDescent="0.3">
      <c r="A6" s="10" t="s">
        <v>172</v>
      </c>
      <c r="B6" s="10" t="s">
        <v>49</v>
      </c>
      <c r="C6" s="10" t="s">
        <v>173</v>
      </c>
      <c r="D6" s="10" t="s">
        <v>174</v>
      </c>
      <c r="E6" s="10" t="s">
        <v>175</v>
      </c>
      <c r="F6" s="10" t="s">
        <v>176</v>
      </c>
      <c r="G6" s="10" t="s">
        <v>177</v>
      </c>
      <c r="H6" s="11" t="s">
        <v>89</v>
      </c>
      <c r="I6" s="11" t="s">
        <v>86</v>
      </c>
      <c r="J6" s="11" t="s">
        <v>87</v>
      </c>
      <c r="K6" s="12" t="s">
        <v>8</v>
      </c>
      <c r="L6" s="12" t="s">
        <v>178</v>
      </c>
    </row>
    <row r="7" spans="1:13" ht="57.6" x14ac:dyDescent="0.3">
      <c r="A7" s="10" t="s">
        <v>179</v>
      </c>
      <c r="B7" s="10" t="s">
        <v>49</v>
      </c>
      <c r="C7" s="10" t="s">
        <v>180</v>
      </c>
      <c r="D7" s="10" t="s">
        <v>181</v>
      </c>
      <c r="E7" s="10" t="s">
        <v>182</v>
      </c>
      <c r="F7" s="10" t="s">
        <v>183</v>
      </c>
      <c r="G7" s="10" t="s">
        <v>184</v>
      </c>
      <c r="H7" s="11" t="s">
        <v>10</v>
      </c>
      <c r="I7" s="11" t="s">
        <v>88</v>
      </c>
      <c r="J7" s="11" t="s">
        <v>90</v>
      </c>
      <c r="K7" s="12" t="s">
        <v>8</v>
      </c>
      <c r="L7" s="12" t="s">
        <v>185</v>
      </c>
    </row>
    <row r="8" spans="1:13" ht="43.2" x14ac:dyDescent="0.3">
      <c r="A8" s="10" t="s">
        <v>186</v>
      </c>
      <c r="B8" s="10" t="s">
        <v>49</v>
      </c>
      <c r="C8" s="10" t="s">
        <v>187</v>
      </c>
      <c r="D8" s="10" t="s">
        <v>188</v>
      </c>
      <c r="E8" s="10" t="s">
        <v>189</v>
      </c>
      <c r="F8" s="10" t="s">
        <v>190</v>
      </c>
      <c r="G8" s="10" t="s">
        <v>191</v>
      </c>
      <c r="H8" s="11" t="s">
        <v>89</v>
      </c>
      <c r="I8" s="11" t="s">
        <v>91</v>
      </c>
      <c r="J8" s="11" t="s">
        <v>87</v>
      </c>
      <c r="K8" s="12" t="s">
        <v>8</v>
      </c>
      <c r="L8" s="12" t="s">
        <v>192</v>
      </c>
    </row>
  </sheetData>
  <mergeCells count="1">
    <mergeCell ref="A1:M1"/>
  </mergeCells>
  <conditionalFormatting sqref="K3:K8">
    <cfRule type="expression" dxfId="39" priority="1">
      <formula>$K3="Pass"</formula>
    </cfRule>
    <cfRule type="expression" dxfId="38" priority="2">
      <formula>$K3="Fail"</formula>
    </cfRule>
    <cfRule type="expression" dxfId="37" priority="3">
      <formula>$K3="Blocked"</formula>
    </cfRule>
    <cfRule type="expression" dxfId="36" priority="4">
      <formula>$K3="Not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Lists!$B$1:$B$4</xm:f>
          </x14:formula1>
          <xm:sqref>H3:H8</xm:sqref>
        </x14:dataValidation>
        <x14:dataValidation type="list" xr:uid="{00000000-0002-0000-0400-000001000000}">
          <x14:formula1>
            <xm:f>Lists!$D$1:$D$8</xm:f>
          </x14:formula1>
          <xm:sqref>I3:I8</xm:sqref>
        </x14:dataValidation>
        <x14:dataValidation type="list" xr:uid="{00000000-0002-0000-0400-000002000000}">
          <x14:formula1>
            <xm:f>Lists!$C$1:$C$3</xm:f>
          </x14:formula1>
          <xm:sqref>J3:J8</xm:sqref>
        </x14:dataValidation>
        <x14:dataValidation type="list" xr:uid="{00000000-0002-0000-0400-000003000000}">
          <x14:formula1>
            <xm:f>Lists!$A$1:$A$4</xm:f>
          </x14:formula1>
          <xm:sqref>K3:K8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"/>
  <sheetViews>
    <sheetView topLeftCell="D1" workbookViewId="0">
      <selection sqref="A1:XFD1048576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28" customWidth="1"/>
    <col min="5" max="5" width="42" customWidth="1"/>
    <col min="6" max="6" width="22" customWidth="1"/>
    <col min="7" max="7" width="38" customWidth="1"/>
    <col min="8" max="8" width="11" customWidth="1"/>
    <col min="9" max="9" width="14" customWidth="1"/>
    <col min="10" max="10" width="20" customWidth="1"/>
    <col min="11" max="11" width="12" customWidth="1"/>
    <col min="12" max="12" width="20" customWidth="1"/>
  </cols>
  <sheetData>
    <row r="1" spans="1:13" x14ac:dyDescent="0.3">
      <c r="A1" s="16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x14ac:dyDescent="0.3">
      <c r="A2" s="8" t="s">
        <v>99</v>
      </c>
      <c r="B2" s="8" t="s">
        <v>41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71</v>
      </c>
      <c r="L2" s="8" t="s">
        <v>108</v>
      </c>
    </row>
    <row r="3" spans="1:13" ht="57.6" x14ac:dyDescent="0.3">
      <c r="A3" s="10" t="s">
        <v>193</v>
      </c>
      <c r="B3" s="10" t="s">
        <v>51</v>
      </c>
      <c r="C3" s="10" t="s">
        <v>194</v>
      </c>
      <c r="D3" s="10" t="s">
        <v>195</v>
      </c>
      <c r="E3" s="10" t="s">
        <v>196</v>
      </c>
      <c r="F3" s="10" t="s">
        <v>197</v>
      </c>
      <c r="G3" s="10" t="s">
        <v>198</v>
      </c>
      <c r="H3" s="11" t="s">
        <v>10</v>
      </c>
      <c r="I3" s="11" t="s">
        <v>86</v>
      </c>
      <c r="J3" s="11" t="s">
        <v>87</v>
      </c>
      <c r="K3" s="12" t="s">
        <v>8</v>
      </c>
      <c r="L3" s="12" t="s">
        <v>199</v>
      </c>
    </row>
    <row r="4" spans="1:13" ht="43.2" x14ac:dyDescent="0.3">
      <c r="A4" s="10" t="s">
        <v>200</v>
      </c>
      <c r="B4" s="10" t="s">
        <v>51</v>
      </c>
      <c r="C4" s="10" t="s">
        <v>201</v>
      </c>
      <c r="D4" s="10" t="s">
        <v>202</v>
      </c>
      <c r="E4" s="10" t="s">
        <v>203</v>
      </c>
      <c r="F4" s="10" t="s">
        <v>204</v>
      </c>
      <c r="G4" s="10" t="s">
        <v>205</v>
      </c>
      <c r="H4" s="11" t="s">
        <v>84</v>
      </c>
      <c r="I4" s="11" t="s">
        <v>93</v>
      </c>
      <c r="J4" s="11" t="s">
        <v>87</v>
      </c>
      <c r="K4" s="12" t="s">
        <v>8</v>
      </c>
      <c r="L4" s="12" t="s">
        <v>206</v>
      </c>
    </row>
    <row r="5" spans="1:13" ht="57.6" x14ac:dyDescent="0.3">
      <c r="A5" s="10" t="s">
        <v>207</v>
      </c>
      <c r="B5" s="10" t="s">
        <v>51</v>
      </c>
      <c r="C5" s="10" t="s">
        <v>208</v>
      </c>
      <c r="D5" s="10" t="s">
        <v>209</v>
      </c>
      <c r="E5" s="10" t="s">
        <v>210</v>
      </c>
      <c r="F5" s="10" t="s">
        <v>211</v>
      </c>
      <c r="G5" s="10" t="s">
        <v>212</v>
      </c>
      <c r="H5" s="11" t="s">
        <v>84</v>
      </c>
      <c r="I5" s="11" t="s">
        <v>94</v>
      </c>
      <c r="J5" s="11" t="s">
        <v>87</v>
      </c>
      <c r="K5" s="12" t="s">
        <v>8</v>
      </c>
      <c r="L5" s="12" t="s">
        <v>213</v>
      </c>
    </row>
    <row r="6" spans="1:13" ht="43.2" x14ac:dyDescent="0.3">
      <c r="A6" s="10" t="s">
        <v>214</v>
      </c>
      <c r="B6" s="10" t="s">
        <v>51</v>
      </c>
      <c r="C6" s="10" t="s">
        <v>215</v>
      </c>
      <c r="D6" s="10" t="s">
        <v>216</v>
      </c>
      <c r="E6" s="10" t="s">
        <v>217</v>
      </c>
      <c r="F6" s="10" t="s">
        <v>218</v>
      </c>
      <c r="G6" s="10" t="s">
        <v>219</v>
      </c>
      <c r="H6" s="11" t="s">
        <v>10</v>
      </c>
      <c r="I6" s="11" t="s">
        <v>91</v>
      </c>
      <c r="J6" s="11" t="s">
        <v>87</v>
      </c>
      <c r="K6" s="12" t="s">
        <v>8</v>
      </c>
      <c r="L6" s="12" t="s">
        <v>220</v>
      </c>
    </row>
    <row r="7" spans="1:13" ht="43.2" x14ac:dyDescent="0.3">
      <c r="A7" s="10" t="s">
        <v>221</v>
      </c>
      <c r="B7" s="10" t="s">
        <v>51</v>
      </c>
      <c r="C7" s="10" t="s">
        <v>222</v>
      </c>
      <c r="D7" s="10" t="s">
        <v>223</v>
      </c>
      <c r="E7" s="10" t="s">
        <v>224</v>
      </c>
      <c r="F7" s="10" t="s">
        <v>225</v>
      </c>
      <c r="G7" s="10" t="s">
        <v>226</v>
      </c>
      <c r="H7" s="11" t="s">
        <v>89</v>
      </c>
      <c r="I7" s="11" t="s">
        <v>86</v>
      </c>
      <c r="J7" s="11" t="s">
        <v>85</v>
      </c>
      <c r="K7" s="12" t="s">
        <v>8</v>
      </c>
      <c r="L7" s="12" t="s">
        <v>227</v>
      </c>
    </row>
    <row r="8" spans="1:13" ht="43.2" x14ac:dyDescent="0.3">
      <c r="A8" s="10" t="s">
        <v>228</v>
      </c>
      <c r="B8" s="10" t="s">
        <v>51</v>
      </c>
      <c r="C8" s="10" t="s">
        <v>229</v>
      </c>
      <c r="D8" s="10" t="s">
        <v>230</v>
      </c>
      <c r="E8" s="10" t="s">
        <v>231</v>
      </c>
      <c r="F8" s="10" t="s">
        <v>232</v>
      </c>
      <c r="G8" s="10" t="s">
        <v>233</v>
      </c>
      <c r="H8" s="11" t="s">
        <v>10</v>
      </c>
      <c r="I8" s="11" t="s">
        <v>88</v>
      </c>
      <c r="J8" s="11" t="s">
        <v>85</v>
      </c>
      <c r="K8" s="12" t="s">
        <v>8</v>
      </c>
      <c r="L8" s="12" t="s">
        <v>234</v>
      </c>
    </row>
  </sheetData>
  <mergeCells count="1">
    <mergeCell ref="A1:M1"/>
  </mergeCells>
  <conditionalFormatting sqref="K3:K8">
    <cfRule type="expression" dxfId="35" priority="1">
      <formula>$K3="Pass"</formula>
    </cfRule>
    <cfRule type="expression" dxfId="34" priority="2">
      <formula>$K3="Fail"</formula>
    </cfRule>
    <cfRule type="expression" dxfId="33" priority="3">
      <formula>$K3="Blocked"</formula>
    </cfRule>
    <cfRule type="expression" dxfId="32" priority="4">
      <formula>$K3="Not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500-000000000000}">
          <x14:formula1>
            <xm:f>Lists!$B$1:$B$4</xm:f>
          </x14:formula1>
          <xm:sqref>H3:H8</xm:sqref>
        </x14:dataValidation>
        <x14:dataValidation type="list" xr:uid="{00000000-0002-0000-0500-000001000000}">
          <x14:formula1>
            <xm:f>Lists!$D$1:$D$8</xm:f>
          </x14:formula1>
          <xm:sqref>I3:I8</xm:sqref>
        </x14:dataValidation>
        <x14:dataValidation type="list" xr:uid="{00000000-0002-0000-0500-000002000000}">
          <x14:formula1>
            <xm:f>Lists!$C$1:$C$3</xm:f>
          </x14:formula1>
          <xm:sqref>J3:J8</xm:sqref>
        </x14:dataValidation>
        <x14:dataValidation type="list" xr:uid="{00000000-0002-0000-0500-000003000000}">
          <x14:formula1>
            <xm:f>Lists!$A$1:$A$4</xm:f>
          </x14:formula1>
          <xm:sqref>K3:K8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"/>
  <sheetViews>
    <sheetView topLeftCell="D1" workbookViewId="0">
      <selection sqref="A1:XFD1048576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28" customWidth="1"/>
    <col min="5" max="5" width="42" customWidth="1"/>
    <col min="6" max="6" width="22" customWidth="1"/>
    <col min="7" max="7" width="38" customWidth="1"/>
    <col min="8" max="8" width="11" customWidth="1"/>
    <col min="9" max="9" width="14" customWidth="1"/>
    <col min="10" max="10" width="20" customWidth="1"/>
    <col min="11" max="11" width="12" customWidth="1"/>
    <col min="12" max="12" width="20" customWidth="1"/>
  </cols>
  <sheetData>
    <row r="1" spans="1:13" x14ac:dyDescent="0.3">
      <c r="A1" s="16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x14ac:dyDescent="0.3">
      <c r="A2" s="8" t="s">
        <v>99</v>
      </c>
      <c r="B2" s="8" t="s">
        <v>41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71</v>
      </c>
      <c r="L2" s="8" t="s">
        <v>108</v>
      </c>
    </row>
    <row r="3" spans="1:13" ht="43.2" x14ac:dyDescent="0.3">
      <c r="A3" s="10" t="s">
        <v>235</v>
      </c>
      <c r="B3" s="10" t="s">
        <v>53</v>
      </c>
      <c r="C3" s="10" t="s">
        <v>236</v>
      </c>
      <c r="D3" s="10" t="s">
        <v>237</v>
      </c>
      <c r="E3" s="10" t="s">
        <v>238</v>
      </c>
      <c r="F3" s="10" t="s">
        <v>239</v>
      </c>
      <c r="G3" s="10" t="s">
        <v>240</v>
      </c>
      <c r="H3" s="11" t="s">
        <v>84</v>
      </c>
      <c r="I3" s="11" t="s">
        <v>93</v>
      </c>
      <c r="J3" s="11" t="s">
        <v>90</v>
      </c>
      <c r="K3" s="12" t="s">
        <v>8</v>
      </c>
      <c r="L3" s="12" t="s">
        <v>241</v>
      </c>
    </row>
    <row r="4" spans="1:13" ht="43.2" x14ac:dyDescent="0.3">
      <c r="A4" s="10" t="s">
        <v>242</v>
      </c>
      <c r="B4" s="10" t="s">
        <v>53</v>
      </c>
      <c r="C4" s="10" t="s">
        <v>243</v>
      </c>
      <c r="D4" s="10" t="s">
        <v>244</v>
      </c>
      <c r="E4" s="10" t="s">
        <v>245</v>
      </c>
      <c r="F4" s="10" t="s">
        <v>246</v>
      </c>
      <c r="G4" s="10" t="s">
        <v>247</v>
      </c>
      <c r="H4" s="11" t="s">
        <v>10</v>
      </c>
      <c r="I4" s="11" t="s">
        <v>88</v>
      </c>
      <c r="J4" s="11" t="s">
        <v>90</v>
      </c>
      <c r="K4" s="12" t="s">
        <v>8</v>
      </c>
      <c r="L4" s="12" t="s">
        <v>248</v>
      </c>
    </row>
    <row r="5" spans="1:13" ht="57.6" x14ac:dyDescent="0.3">
      <c r="A5" s="10" t="s">
        <v>249</v>
      </c>
      <c r="B5" s="10" t="s">
        <v>53</v>
      </c>
      <c r="C5" s="10" t="s">
        <v>250</v>
      </c>
      <c r="D5" s="10" t="s">
        <v>251</v>
      </c>
      <c r="E5" s="10" t="s">
        <v>252</v>
      </c>
      <c r="F5" s="10" t="s">
        <v>253</v>
      </c>
      <c r="G5" s="10" t="s">
        <v>254</v>
      </c>
      <c r="H5" s="11" t="s">
        <v>10</v>
      </c>
      <c r="I5" s="11" t="s">
        <v>91</v>
      </c>
      <c r="J5" s="11" t="s">
        <v>90</v>
      </c>
      <c r="K5" s="12" t="s">
        <v>8</v>
      </c>
      <c r="L5" s="12" t="s">
        <v>255</v>
      </c>
    </row>
    <row r="6" spans="1:13" ht="43.2" x14ac:dyDescent="0.3">
      <c r="A6" s="10" t="s">
        <v>256</v>
      </c>
      <c r="B6" s="10" t="s">
        <v>53</v>
      </c>
      <c r="C6" s="10" t="s">
        <v>257</v>
      </c>
      <c r="D6" s="10" t="s">
        <v>258</v>
      </c>
      <c r="E6" s="10" t="s">
        <v>259</v>
      </c>
      <c r="F6" s="10" t="s">
        <v>260</v>
      </c>
      <c r="G6" s="10" t="s">
        <v>261</v>
      </c>
      <c r="H6" s="11" t="s">
        <v>84</v>
      </c>
      <c r="I6" s="11" t="s">
        <v>88</v>
      </c>
      <c r="J6" s="11" t="s">
        <v>87</v>
      </c>
      <c r="K6" s="12" t="s">
        <v>8</v>
      </c>
      <c r="L6" s="12" t="s">
        <v>262</v>
      </c>
    </row>
    <row r="7" spans="1:13" ht="43.2" x14ac:dyDescent="0.3">
      <c r="A7" s="10" t="s">
        <v>263</v>
      </c>
      <c r="B7" s="10" t="s">
        <v>53</v>
      </c>
      <c r="C7" s="10" t="s">
        <v>264</v>
      </c>
      <c r="D7" s="10" t="s">
        <v>265</v>
      </c>
      <c r="E7" s="10" t="s">
        <v>266</v>
      </c>
      <c r="F7" s="10" t="s">
        <v>267</v>
      </c>
      <c r="G7" s="10" t="s">
        <v>268</v>
      </c>
      <c r="H7" s="11" t="s">
        <v>10</v>
      </c>
      <c r="I7" s="11" t="s">
        <v>93</v>
      </c>
      <c r="J7" s="11" t="s">
        <v>87</v>
      </c>
      <c r="K7" s="12" t="s">
        <v>8</v>
      </c>
      <c r="L7" s="12" t="s">
        <v>269</v>
      </c>
    </row>
    <row r="8" spans="1:13" ht="57.6" x14ac:dyDescent="0.3">
      <c r="A8" s="10" t="s">
        <v>270</v>
      </c>
      <c r="B8" s="10" t="s">
        <v>53</v>
      </c>
      <c r="C8" s="10" t="s">
        <v>271</v>
      </c>
      <c r="D8" s="10" t="s">
        <v>272</v>
      </c>
      <c r="E8" s="10" t="s">
        <v>273</v>
      </c>
      <c r="F8" s="10" t="s">
        <v>274</v>
      </c>
      <c r="G8" s="10" t="s">
        <v>275</v>
      </c>
      <c r="H8" s="11" t="s">
        <v>89</v>
      </c>
      <c r="I8" s="11" t="s">
        <v>88</v>
      </c>
      <c r="J8" s="11" t="s">
        <v>90</v>
      </c>
      <c r="K8" s="12" t="s">
        <v>8</v>
      </c>
      <c r="L8" s="12" t="s">
        <v>276</v>
      </c>
    </row>
  </sheetData>
  <mergeCells count="1">
    <mergeCell ref="A1:M1"/>
  </mergeCells>
  <conditionalFormatting sqref="K3:K8">
    <cfRule type="expression" dxfId="31" priority="1">
      <formula>$K3="Pass"</formula>
    </cfRule>
    <cfRule type="expression" dxfId="30" priority="2">
      <formula>$K3="Fail"</formula>
    </cfRule>
    <cfRule type="expression" dxfId="29" priority="3">
      <formula>$K3="Blocked"</formula>
    </cfRule>
    <cfRule type="expression" dxfId="28" priority="4">
      <formula>$K3="Not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600-000000000000}">
          <x14:formula1>
            <xm:f>Lists!$B$1:$B$4</xm:f>
          </x14:formula1>
          <xm:sqref>H3:H8</xm:sqref>
        </x14:dataValidation>
        <x14:dataValidation type="list" xr:uid="{00000000-0002-0000-0600-000001000000}">
          <x14:formula1>
            <xm:f>Lists!$D$1:$D$8</xm:f>
          </x14:formula1>
          <xm:sqref>I3:I8</xm:sqref>
        </x14:dataValidation>
        <x14:dataValidation type="list" xr:uid="{00000000-0002-0000-0600-000002000000}">
          <x14:formula1>
            <xm:f>Lists!$C$1:$C$3</xm:f>
          </x14:formula1>
          <xm:sqref>J3:J8</xm:sqref>
        </x14:dataValidation>
        <x14:dataValidation type="list" xr:uid="{00000000-0002-0000-0600-000003000000}">
          <x14:formula1>
            <xm:f>Lists!$A$1:$A$4</xm:f>
          </x14:formula1>
          <xm:sqref>K3:K8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"/>
  <sheetViews>
    <sheetView topLeftCell="D1" workbookViewId="0">
      <selection sqref="A1:XFD1048576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28" customWidth="1"/>
    <col min="5" max="5" width="42" customWidth="1"/>
    <col min="6" max="6" width="22" customWidth="1"/>
    <col min="7" max="7" width="38" customWidth="1"/>
    <col min="8" max="8" width="11" customWidth="1"/>
    <col min="9" max="9" width="14" customWidth="1"/>
    <col min="10" max="10" width="20" customWidth="1"/>
    <col min="11" max="11" width="12" customWidth="1"/>
    <col min="12" max="12" width="20" customWidth="1"/>
  </cols>
  <sheetData>
    <row r="1" spans="1:13" x14ac:dyDescent="0.3">
      <c r="A1" s="16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x14ac:dyDescent="0.3">
      <c r="A2" s="8" t="s">
        <v>99</v>
      </c>
      <c r="B2" s="8" t="s">
        <v>41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71</v>
      </c>
      <c r="L2" s="8" t="s">
        <v>108</v>
      </c>
    </row>
    <row r="3" spans="1:13" ht="57.6" x14ac:dyDescent="0.3">
      <c r="A3" s="10" t="s">
        <v>277</v>
      </c>
      <c r="B3" s="10" t="s">
        <v>55</v>
      </c>
      <c r="C3" s="10" t="s">
        <v>278</v>
      </c>
      <c r="D3" s="10" t="s">
        <v>279</v>
      </c>
      <c r="E3" s="10" t="s">
        <v>280</v>
      </c>
      <c r="F3" s="10" t="s">
        <v>281</v>
      </c>
      <c r="G3" s="10" t="s">
        <v>282</v>
      </c>
      <c r="H3" s="11" t="s">
        <v>84</v>
      </c>
      <c r="I3" s="11" t="s">
        <v>86</v>
      </c>
      <c r="J3" s="11" t="s">
        <v>90</v>
      </c>
      <c r="K3" s="12" t="s">
        <v>8</v>
      </c>
      <c r="L3" s="12" t="s">
        <v>283</v>
      </c>
    </row>
    <row r="4" spans="1:13" ht="43.2" x14ac:dyDescent="0.3">
      <c r="A4" s="10" t="s">
        <v>284</v>
      </c>
      <c r="B4" s="10" t="s">
        <v>55</v>
      </c>
      <c r="C4" s="10" t="s">
        <v>285</v>
      </c>
      <c r="D4" s="10" t="s">
        <v>286</v>
      </c>
      <c r="E4" s="10" t="s">
        <v>287</v>
      </c>
      <c r="F4" s="10" t="s">
        <v>288</v>
      </c>
      <c r="G4" s="10" t="s">
        <v>289</v>
      </c>
      <c r="H4" s="11" t="s">
        <v>84</v>
      </c>
      <c r="I4" s="11" t="s">
        <v>94</v>
      </c>
      <c r="J4" s="11" t="s">
        <v>85</v>
      </c>
      <c r="K4" s="12" t="s">
        <v>8</v>
      </c>
      <c r="L4" s="12" t="s">
        <v>290</v>
      </c>
    </row>
    <row r="5" spans="1:13" ht="43.2" x14ac:dyDescent="0.3">
      <c r="A5" s="10" t="s">
        <v>291</v>
      </c>
      <c r="B5" s="10" t="s">
        <v>55</v>
      </c>
      <c r="C5" s="10" t="s">
        <v>292</v>
      </c>
      <c r="D5" s="10" t="s">
        <v>293</v>
      </c>
      <c r="E5" s="10" t="s">
        <v>294</v>
      </c>
      <c r="F5" s="10" t="s">
        <v>295</v>
      </c>
      <c r="G5" s="10" t="s">
        <v>296</v>
      </c>
      <c r="H5" s="11" t="s">
        <v>84</v>
      </c>
      <c r="I5" s="11" t="s">
        <v>88</v>
      </c>
      <c r="J5" s="11" t="s">
        <v>90</v>
      </c>
      <c r="K5" s="12" t="s">
        <v>8</v>
      </c>
      <c r="L5" s="12" t="s">
        <v>297</v>
      </c>
    </row>
    <row r="6" spans="1:13" ht="43.2" x14ac:dyDescent="0.3">
      <c r="A6" s="10" t="s">
        <v>298</v>
      </c>
      <c r="B6" s="10" t="s">
        <v>55</v>
      </c>
      <c r="C6" s="10" t="s">
        <v>299</v>
      </c>
      <c r="D6" s="10" t="s">
        <v>300</v>
      </c>
      <c r="E6" s="10" t="s">
        <v>301</v>
      </c>
      <c r="F6" s="10" t="s">
        <v>302</v>
      </c>
      <c r="G6" s="10" t="s">
        <v>303</v>
      </c>
      <c r="H6" s="11" t="s">
        <v>10</v>
      </c>
      <c r="I6" s="11" t="s">
        <v>91</v>
      </c>
      <c r="J6" s="11" t="s">
        <v>87</v>
      </c>
      <c r="K6" s="12" t="s">
        <v>8</v>
      </c>
      <c r="L6" s="12" t="s">
        <v>304</v>
      </c>
    </row>
    <row r="7" spans="1:13" ht="57.6" x14ac:dyDescent="0.3">
      <c r="A7" s="10" t="s">
        <v>305</v>
      </c>
      <c r="B7" s="10" t="s">
        <v>55</v>
      </c>
      <c r="C7" s="10" t="s">
        <v>306</v>
      </c>
      <c r="D7" s="10" t="s">
        <v>307</v>
      </c>
      <c r="E7" s="10" t="s">
        <v>308</v>
      </c>
      <c r="F7" s="10" t="s">
        <v>309</v>
      </c>
      <c r="G7" s="10" t="s">
        <v>310</v>
      </c>
      <c r="H7" s="11" t="s">
        <v>10</v>
      </c>
      <c r="I7" s="11" t="s">
        <v>94</v>
      </c>
      <c r="J7" s="11" t="s">
        <v>90</v>
      </c>
      <c r="K7" s="12" t="s">
        <v>8</v>
      </c>
      <c r="L7" s="12" t="s">
        <v>311</v>
      </c>
    </row>
    <row r="8" spans="1:13" ht="43.2" x14ac:dyDescent="0.3">
      <c r="A8" s="10" t="s">
        <v>312</v>
      </c>
      <c r="B8" s="10" t="s">
        <v>55</v>
      </c>
      <c r="C8" s="10" t="s">
        <v>313</v>
      </c>
      <c r="D8" s="10" t="s">
        <v>314</v>
      </c>
      <c r="E8" s="10" t="s">
        <v>315</v>
      </c>
      <c r="F8" s="10" t="s">
        <v>316</v>
      </c>
      <c r="G8" s="10" t="s">
        <v>317</v>
      </c>
      <c r="H8" s="11" t="s">
        <v>89</v>
      </c>
      <c r="I8" s="11" t="s">
        <v>88</v>
      </c>
      <c r="J8" s="11" t="s">
        <v>90</v>
      </c>
      <c r="K8" s="12" t="s">
        <v>8</v>
      </c>
      <c r="L8" s="12" t="s">
        <v>318</v>
      </c>
    </row>
  </sheetData>
  <mergeCells count="1">
    <mergeCell ref="A1:M1"/>
  </mergeCells>
  <conditionalFormatting sqref="K3:K8">
    <cfRule type="expression" dxfId="27" priority="1">
      <formula>$K3="Pass"</formula>
    </cfRule>
    <cfRule type="expression" dxfId="26" priority="2">
      <formula>$K3="Fail"</formula>
    </cfRule>
    <cfRule type="expression" dxfId="25" priority="3">
      <formula>$K3="Blocked"</formula>
    </cfRule>
    <cfRule type="expression" dxfId="24" priority="4">
      <formula>$K3="Not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700-000000000000}">
          <x14:formula1>
            <xm:f>Lists!$B$1:$B$4</xm:f>
          </x14:formula1>
          <xm:sqref>H3:H8</xm:sqref>
        </x14:dataValidation>
        <x14:dataValidation type="list" xr:uid="{00000000-0002-0000-0700-000001000000}">
          <x14:formula1>
            <xm:f>Lists!$D$1:$D$8</xm:f>
          </x14:formula1>
          <xm:sqref>I3:I8</xm:sqref>
        </x14:dataValidation>
        <x14:dataValidation type="list" xr:uid="{00000000-0002-0000-0700-000002000000}">
          <x14:formula1>
            <xm:f>Lists!$C$1:$C$3</xm:f>
          </x14:formula1>
          <xm:sqref>J3:J8</xm:sqref>
        </x14:dataValidation>
        <x14:dataValidation type="list" xr:uid="{00000000-0002-0000-0700-000003000000}">
          <x14:formula1>
            <xm:f>Lists!$A$1:$A$4</xm:f>
          </x14:formula1>
          <xm:sqref>K3:K8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"/>
  <sheetViews>
    <sheetView topLeftCell="D3" workbookViewId="0">
      <selection activeCell="K10" sqref="K10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28" customWidth="1"/>
    <col min="5" max="5" width="42" customWidth="1"/>
    <col min="6" max="6" width="22" customWidth="1"/>
    <col min="7" max="7" width="38" customWidth="1"/>
    <col min="8" max="8" width="11" customWidth="1"/>
    <col min="9" max="9" width="14" customWidth="1"/>
    <col min="10" max="10" width="20" customWidth="1"/>
    <col min="11" max="11" width="12" customWidth="1"/>
    <col min="12" max="12" width="20" customWidth="1"/>
  </cols>
  <sheetData>
    <row r="1" spans="1:13" x14ac:dyDescent="0.3">
      <c r="A1" s="16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x14ac:dyDescent="0.3">
      <c r="A2" s="8" t="s">
        <v>99</v>
      </c>
      <c r="B2" s="8" t="s">
        <v>41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71</v>
      </c>
      <c r="L2" s="8" t="s">
        <v>108</v>
      </c>
    </row>
    <row r="3" spans="1:13" ht="43.2" x14ac:dyDescent="0.3">
      <c r="A3" s="10" t="s">
        <v>319</v>
      </c>
      <c r="B3" s="10" t="s">
        <v>57</v>
      </c>
      <c r="C3" s="10" t="s">
        <v>320</v>
      </c>
      <c r="D3" s="10" t="s">
        <v>321</v>
      </c>
      <c r="E3" s="10" t="s">
        <v>322</v>
      </c>
      <c r="F3" s="10" t="s">
        <v>323</v>
      </c>
      <c r="G3" s="10" t="s">
        <v>324</v>
      </c>
      <c r="H3" s="11" t="s">
        <v>10</v>
      </c>
      <c r="I3" s="11" t="s">
        <v>88</v>
      </c>
      <c r="J3" s="11" t="s">
        <v>85</v>
      </c>
      <c r="K3" s="12" t="s">
        <v>8</v>
      </c>
      <c r="L3" s="12" t="s">
        <v>325</v>
      </c>
    </row>
    <row r="4" spans="1:13" ht="57.6" x14ac:dyDescent="0.3">
      <c r="A4" s="10" t="s">
        <v>326</v>
      </c>
      <c r="B4" s="10" t="s">
        <v>57</v>
      </c>
      <c r="C4" s="10" t="s">
        <v>327</v>
      </c>
      <c r="D4" s="10" t="s">
        <v>328</v>
      </c>
      <c r="E4" s="10" t="s">
        <v>329</v>
      </c>
      <c r="F4" s="10" t="s">
        <v>330</v>
      </c>
      <c r="G4" s="10" t="s">
        <v>331</v>
      </c>
      <c r="H4" s="11" t="s">
        <v>84</v>
      </c>
      <c r="I4" s="11" t="s">
        <v>88</v>
      </c>
      <c r="J4" s="11" t="s">
        <v>90</v>
      </c>
      <c r="K4" s="12" t="s">
        <v>8</v>
      </c>
      <c r="L4" s="12" t="s">
        <v>332</v>
      </c>
    </row>
    <row r="5" spans="1:13" ht="43.2" x14ac:dyDescent="0.3">
      <c r="A5" s="10" t="s">
        <v>333</v>
      </c>
      <c r="B5" s="10" t="s">
        <v>57</v>
      </c>
      <c r="C5" s="10" t="s">
        <v>334</v>
      </c>
      <c r="D5" s="10" t="s">
        <v>335</v>
      </c>
      <c r="E5" s="10" t="s">
        <v>336</v>
      </c>
      <c r="F5" s="10" t="s">
        <v>337</v>
      </c>
      <c r="G5" s="10" t="s">
        <v>338</v>
      </c>
      <c r="H5" s="11" t="s">
        <v>89</v>
      </c>
      <c r="I5" s="11" t="s">
        <v>86</v>
      </c>
      <c r="J5" s="11" t="s">
        <v>87</v>
      </c>
      <c r="K5" s="12" t="s">
        <v>8</v>
      </c>
      <c r="L5" s="12" t="s">
        <v>339</v>
      </c>
    </row>
    <row r="6" spans="1:13" ht="43.2" x14ac:dyDescent="0.3">
      <c r="A6" s="10" t="s">
        <v>340</v>
      </c>
      <c r="B6" s="10" t="s">
        <v>57</v>
      </c>
      <c r="C6" s="10" t="s">
        <v>341</v>
      </c>
      <c r="D6" s="10" t="s">
        <v>342</v>
      </c>
      <c r="E6" s="10" t="s">
        <v>343</v>
      </c>
      <c r="F6" s="10" t="s">
        <v>344</v>
      </c>
      <c r="G6" s="10" t="s">
        <v>345</v>
      </c>
      <c r="H6" s="11" t="s">
        <v>10</v>
      </c>
      <c r="I6" s="11" t="s">
        <v>93</v>
      </c>
      <c r="J6" s="11" t="s">
        <v>85</v>
      </c>
      <c r="K6" s="12" t="s">
        <v>8</v>
      </c>
      <c r="L6" s="12" t="s">
        <v>346</v>
      </c>
    </row>
    <row r="7" spans="1:13" ht="43.2" x14ac:dyDescent="0.3">
      <c r="A7" s="10" t="s">
        <v>347</v>
      </c>
      <c r="B7" s="10" t="s">
        <v>57</v>
      </c>
      <c r="C7" s="10" t="s">
        <v>348</v>
      </c>
      <c r="D7" s="10" t="s">
        <v>349</v>
      </c>
      <c r="E7" s="10" t="s">
        <v>350</v>
      </c>
      <c r="F7" s="10" t="s">
        <v>351</v>
      </c>
      <c r="G7" s="10" t="s">
        <v>352</v>
      </c>
      <c r="H7" s="11" t="s">
        <v>89</v>
      </c>
      <c r="I7" s="11" t="s">
        <v>91</v>
      </c>
      <c r="J7" s="11" t="s">
        <v>90</v>
      </c>
      <c r="K7" s="12" t="s">
        <v>8</v>
      </c>
      <c r="L7" s="12" t="s">
        <v>353</v>
      </c>
    </row>
    <row r="8" spans="1:13" ht="43.2" x14ac:dyDescent="0.3">
      <c r="A8" s="10" t="s">
        <v>354</v>
      </c>
      <c r="B8" s="10" t="s">
        <v>57</v>
      </c>
      <c r="C8" s="10" t="s">
        <v>355</v>
      </c>
      <c r="D8" s="10" t="s">
        <v>356</v>
      </c>
      <c r="E8" s="10" t="s">
        <v>357</v>
      </c>
      <c r="F8" s="10" t="s">
        <v>358</v>
      </c>
      <c r="G8" s="10" t="s">
        <v>359</v>
      </c>
      <c r="H8" s="11" t="s">
        <v>89</v>
      </c>
      <c r="I8" s="11" t="s">
        <v>88</v>
      </c>
      <c r="J8" s="11" t="s">
        <v>90</v>
      </c>
      <c r="K8" s="12" t="s">
        <v>8</v>
      </c>
      <c r="L8" s="12" t="s">
        <v>360</v>
      </c>
    </row>
  </sheetData>
  <mergeCells count="1">
    <mergeCell ref="A1:M1"/>
  </mergeCells>
  <conditionalFormatting sqref="K3:K8">
    <cfRule type="expression" dxfId="23" priority="1">
      <formula>$K3="Pass"</formula>
    </cfRule>
    <cfRule type="expression" dxfId="22" priority="2">
      <formula>$K3="Fail"</formula>
    </cfRule>
    <cfRule type="expression" dxfId="21" priority="3">
      <formula>$K3="Blocked"</formula>
    </cfRule>
    <cfRule type="expression" dxfId="20" priority="4">
      <formula>$K3="Not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800-000000000000}">
          <x14:formula1>
            <xm:f>Lists!$B$1:$B$4</xm:f>
          </x14:formula1>
          <xm:sqref>H3:H8</xm:sqref>
        </x14:dataValidation>
        <x14:dataValidation type="list" xr:uid="{00000000-0002-0000-0800-000001000000}">
          <x14:formula1>
            <xm:f>Lists!$D$1:$D$8</xm:f>
          </x14:formula1>
          <xm:sqref>I3:I8</xm:sqref>
        </x14:dataValidation>
        <x14:dataValidation type="list" xr:uid="{00000000-0002-0000-0800-000002000000}">
          <x14:formula1>
            <xm:f>Lists!$C$1:$C$3</xm:f>
          </x14:formula1>
          <xm:sqref>J3:J8</xm:sqref>
        </x14:dataValidation>
        <x14:dataValidation type="list" xr:uid="{00000000-0002-0000-0800-000003000000}">
          <x14:formula1>
            <xm:f>Lists!$A$1:$A$4</xm:f>
          </x14:formula1>
          <xm:sqref>K3:K8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"/>
  <sheetViews>
    <sheetView tabSelected="1" topLeftCell="D1" workbookViewId="0">
      <selection sqref="A1:XFD1048576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28" customWidth="1"/>
    <col min="5" max="5" width="42" customWidth="1"/>
    <col min="6" max="6" width="22" customWidth="1"/>
    <col min="7" max="7" width="38" customWidth="1"/>
    <col min="8" max="8" width="11" customWidth="1"/>
    <col min="9" max="9" width="14" customWidth="1"/>
    <col min="10" max="10" width="20" customWidth="1"/>
    <col min="11" max="11" width="12" customWidth="1"/>
    <col min="12" max="12" width="20" customWidth="1"/>
  </cols>
  <sheetData>
    <row r="1" spans="1:13" x14ac:dyDescent="0.3">
      <c r="A1" s="16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x14ac:dyDescent="0.3">
      <c r="A2" s="8" t="s">
        <v>99</v>
      </c>
      <c r="B2" s="8" t="s">
        <v>41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71</v>
      </c>
      <c r="L2" s="8" t="s">
        <v>108</v>
      </c>
    </row>
    <row r="3" spans="1:13" ht="43.2" x14ac:dyDescent="0.3">
      <c r="A3" s="10" t="s">
        <v>361</v>
      </c>
      <c r="B3" s="10" t="s">
        <v>59</v>
      </c>
      <c r="C3" s="10" t="s">
        <v>362</v>
      </c>
      <c r="D3" s="10" t="s">
        <v>363</v>
      </c>
      <c r="E3" s="10" t="s">
        <v>364</v>
      </c>
      <c r="F3" s="10" t="s">
        <v>365</v>
      </c>
      <c r="G3" s="10" t="s">
        <v>366</v>
      </c>
      <c r="H3" s="11" t="s">
        <v>10</v>
      </c>
      <c r="I3" s="11" t="s">
        <v>97</v>
      </c>
      <c r="J3" s="11" t="s">
        <v>90</v>
      </c>
      <c r="K3" s="12" t="s">
        <v>8</v>
      </c>
      <c r="L3" s="12" t="s">
        <v>367</v>
      </c>
    </row>
    <row r="4" spans="1:13" ht="43.2" x14ac:dyDescent="0.3">
      <c r="A4" s="10" t="s">
        <v>368</v>
      </c>
      <c r="B4" s="10" t="s">
        <v>59</v>
      </c>
      <c r="C4" s="10" t="s">
        <v>369</v>
      </c>
      <c r="D4" s="10" t="s">
        <v>370</v>
      </c>
      <c r="E4" s="10" t="s">
        <v>371</v>
      </c>
      <c r="F4" s="10" t="s">
        <v>372</v>
      </c>
      <c r="G4" s="10" t="s">
        <v>373</v>
      </c>
      <c r="H4" s="11" t="s">
        <v>10</v>
      </c>
      <c r="I4" s="11" t="s">
        <v>91</v>
      </c>
      <c r="J4" s="11" t="s">
        <v>90</v>
      </c>
      <c r="K4" s="12" t="s">
        <v>8</v>
      </c>
      <c r="L4" s="12" t="s">
        <v>374</v>
      </c>
    </row>
    <row r="5" spans="1:13" ht="43.2" x14ac:dyDescent="0.3">
      <c r="A5" s="10" t="s">
        <v>375</v>
      </c>
      <c r="B5" s="10" t="s">
        <v>59</v>
      </c>
      <c r="C5" s="10" t="s">
        <v>376</v>
      </c>
      <c r="D5" s="10" t="s">
        <v>377</v>
      </c>
      <c r="E5" s="10" t="s">
        <v>378</v>
      </c>
      <c r="F5" s="10" t="s">
        <v>379</v>
      </c>
      <c r="G5" s="10" t="s">
        <v>380</v>
      </c>
      <c r="H5" s="11" t="s">
        <v>84</v>
      </c>
      <c r="I5" s="11" t="s">
        <v>94</v>
      </c>
      <c r="J5" s="11" t="s">
        <v>85</v>
      </c>
      <c r="K5" s="12" t="s">
        <v>8</v>
      </c>
      <c r="L5" s="12" t="s">
        <v>381</v>
      </c>
    </row>
    <row r="6" spans="1:13" ht="43.2" x14ac:dyDescent="0.3">
      <c r="A6" s="10" t="s">
        <v>382</v>
      </c>
      <c r="B6" s="10" t="s">
        <v>59</v>
      </c>
      <c r="C6" s="10" t="s">
        <v>383</v>
      </c>
      <c r="D6" s="10" t="s">
        <v>384</v>
      </c>
      <c r="E6" s="10" t="s">
        <v>385</v>
      </c>
      <c r="F6" s="10" t="s">
        <v>386</v>
      </c>
      <c r="G6" s="10" t="s">
        <v>387</v>
      </c>
      <c r="H6" s="11" t="s">
        <v>89</v>
      </c>
      <c r="I6" s="11" t="s">
        <v>97</v>
      </c>
      <c r="J6" s="11" t="s">
        <v>87</v>
      </c>
      <c r="K6" s="12" t="s">
        <v>8</v>
      </c>
      <c r="L6" s="12" t="s">
        <v>388</v>
      </c>
    </row>
    <row r="7" spans="1:13" ht="43.2" x14ac:dyDescent="0.3">
      <c r="A7" s="10" t="s">
        <v>389</v>
      </c>
      <c r="B7" s="10" t="s">
        <v>59</v>
      </c>
      <c r="C7" s="10" t="s">
        <v>390</v>
      </c>
      <c r="D7" s="10" t="s">
        <v>391</v>
      </c>
      <c r="E7" s="10" t="s">
        <v>392</v>
      </c>
      <c r="F7" s="10" t="s">
        <v>393</v>
      </c>
      <c r="G7" s="10" t="s">
        <v>394</v>
      </c>
      <c r="H7" s="11" t="s">
        <v>10</v>
      </c>
      <c r="I7" s="11" t="s">
        <v>96</v>
      </c>
      <c r="J7" s="11" t="s">
        <v>87</v>
      </c>
      <c r="K7" s="12" t="s">
        <v>8</v>
      </c>
      <c r="L7" s="12" t="s">
        <v>395</v>
      </c>
    </row>
  </sheetData>
  <mergeCells count="1">
    <mergeCell ref="A1:M1"/>
  </mergeCells>
  <conditionalFormatting sqref="K3:K7">
    <cfRule type="expression" dxfId="19" priority="1">
      <formula>$K3="Pass"</formula>
    </cfRule>
    <cfRule type="expression" dxfId="18" priority="2">
      <formula>$K3="Fail"</formula>
    </cfRule>
    <cfRule type="expression" dxfId="17" priority="3">
      <formula>$K3="Blocked"</formula>
    </cfRule>
    <cfRule type="expression" dxfId="16" priority="4">
      <formula>$K3="Not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900-000000000000}">
          <x14:formula1>
            <xm:f>Lists!$B$1:$B$4</xm:f>
          </x14:formula1>
          <xm:sqref>H3:H8</xm:sqref>
        </x14:dataValidation>
        <x14:dataValidation type="list" xr:uid="{00000000-0002-0000-0900-000001000000}">
          <x14:formula1>
            <xm:f>Lists!$D$1:$D$8</xm:f>
          </x14:formula1>
          <xm:sqref>I3:I8</xm:sqref>
        </x14:dataValidation>
        <x14:dataValidation type="list" xr:uid="{00000000-0002-0000-0900-000002000000}">
          <x14:formula1>
            <xm:f>Lists!$C$1:$C$3</xm:f>
          </x14:formula1>
          <xm:sqref>J3:J8</xm:sqref>
        </x14:dataValidation>
        <x14:dataValidation type="list" xr:uid="{00000000-0002-0000-0900-000003000000}">
          <x14:formula1>
            <xm:f>Lists!$A$1:$A$4</xm:f>
          </x14:formula1>
          <xm:sqref>K3:K8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"/>
  <sheetViews>
    <sheetView topLeftCell="D1" workbookViewId="0">
      <selection activeCell="E17" sqref="A1:XFD1048576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28" customWidth="1"/>
    <col min="5" max="5" width="42" customWidth="1"/>
    <col min="6" max="6" width="22" customWidth="1"/>
    <col min="7" max="7" width="38" customWidth="1"/>
    <col min="8" max="8" width="11" customWidth="1"/>
    <col min="9" max="9" width="14" customWidth="1"/>
    <col min="10" max="10" width="20" customWidth="1"/>
    <col min="11" max="11" width="12" customWidth="1"/>
    <col min="12" max="12" width="20" customWidth="1"/>
  </cols>
  <sheetData>
    <row r="1" spans="1:13" x14ac:dyDescent="0.3">
      <c r="A1" s="16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x14ac:dyDescent="0.3">
      <c r="A2" s="8" t="s">
        <v>99</v>
      </c>
      <c r="B2" s="8" t="s">
        <v>41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71</v>
      </c>
      <c r="L2" s="8" t="s">
        <v>108</v>
      </c>
    </row>
    <row r="3" spans="1:13" ht="43.2" x14ac:dyDescent="0.3">
      <c r="A3" s="10" t="s">
        <v>396</v>
      </c>
      <c r="B3" s="10" t="s">
        <v>61</v>
      </c>
      <c r="C3" s="10" t="s">
        <v>397</v>
      </c>
      <c r="D3" s="10" t="s">
        <v>398</v>
      </c>
      <c r="E3" s="10" t="s">
        <v>399</v>
      </c>
      <c r="F3" s="10" t="s">
        <v>400</v>
      </c>
      <c r="G3" s="10" t="s">
        <v>401</v>
      </c>
      <c r="H3" s="11" t="s">
        <v>84</v>
      </c>
      <c r="I3" s="11" t="s">
        <v>94</v>
      </c>
      <c r="J3" s="11" t="s">
        <v>85</v>
      </c>
      <c r="K3" s="12" t="s">
        <v>8</v>
      </c>
      <c r="L3" s="12" t="s">
        <v>402</v>
      </c>
    </row>
    <row r="4" spans="1:13" ht="43.2" x14ac:dyDescent="0.3">
      <c r="A4" s="10" t="s">
        <v>403</v>
      </c>
      <c r="B4" s="10" t="s">
        <v>61</v>
      </c>
      <c r="C4" s="10" t="s">
        <v>404</v>
      </c>
      <c r="D4" s="10" t="s">
        <v>405</v>
      </c>
      <c r="E4" s="10" t="s">
        <v>406</v>
      </c>
      <c r="F4" s="10" t="s">
        <v>407</v>
      </c>
      <c r="G4" s="10" t="s">
        <v>408</v>
      </c>
      <c r="H4" s="11" t="s">
        <v>10</v>
      </c>
      <c r="I4" s="11" t="s">
        <v>94</v>
      </c>
      <c r="J4" s="11" t="s">
        <v>85</v>
      </c>
      <c r="K4" s="12" t="s">
        <v>8</v>
      </c>
      <c r="L4" s="12" t="s">
        <v>409</v>
      </c>
    </row>
    <row r="5" spans="1:13" ht="43.2" x14ac:dyDescent="0.3">
      <c r="A5" s="10" t="s">
        <v>410</v>
      </c>
      <c r="B5" s="10" t="s">
        <v>61</v>
      </c>
      <c r="C5" s="10" t="s">
        <v>411</v>
      </c>
      <c r="D5" s="10" t="s">
        <v>412</v>
      </c>
      <c r="E5" s="10" t="s">
        <v>413</v>
      </c>
      <c r="F5" s="10" t="s">
        <v>414</v>
      </c>
      <c r="G5" s="10" t="s">
        <v>415</v>
      </c>
      <c r="H5" s="11" t="s">
        <v>89</v>
      </c>
      <c r="I5" s="11" t="s">
        <v>94</v>
      </c>
      <c r="J5" s="11" t="s">
        <v>90</v>
      </c>
      <c r="K5" s="12" t="s">
        <v>8</v>
      </c>
      <c r="L5" s="12" t="s">
        <v>416</v>
      </c>
    </row>
    <row r="6" spans="1:13" ht="43.2" x14ac:dyDescent="0.3">
      <c r="A6" s="10" t="s">
        <v>417</v>
      </c>
      <c r="B6" s="10" t="s">
        <v>61</v>
      </c>
      <c r="C6" s="10" t="s">
        <v>418</v>
      </c>
      <c r="D6" s="10" t="s">
        <v>419</v>
      </c>
      <c r="E6" s="10" t="s">
        <v>420</v>
      </c>
      <c r="F6" s="10" t="s">
        <v>421</v>
      </c>
      <c r="G6" s="10" t="s">
        <v>422</v>
      </c>
      <c r="H6" s="11" t="s">
        <v>84</v>
      </c>
      <c r="I6" s="11" t="s">
        <v>94</v>
      </c>
      <c r="J6" s="11" t="s">
        <v>87</v>
      </c>
      <c r="K6" s="12" t="s">
        <v>8</v>
      </c>
      <c r="L6" s="12" t="s">
        <v>423</v>
      </c>
    </row>
    <row r="7" spans="1:13" ht="43.2" x14ac:dyDescent="0.3">
      <c r="A7" s="10" t="s">
        <v>424</v>
      </c>
      <c r="B7" s="10" t="s">
        <v>61</v>
      </c>
      <c r="C7" s="10" t="s">
        <v>425</v>
      </c>
      <c r="D7" s="10" t="s">
        <v>426</v>
      </c>
      <c r="E7" s="10" t="s">
        <v>427</v>
      </c>
      <c r="F7" s="10" t="s">
        <v>428</v>
      </c>
      <c r="G7" s="10" t="s">
        <v>429</v>
      </c>
      <c r="H7" s="11" t="s">
        <v>84</v>
      </c>
      <c r="I7" s="11" t="s">
        <v>94</v>
      </c>
      <c r="J7" s="11" t="s">
        <v>90</v>
      </c>
      <c r="K7" s="12" t="s">
        <v>8</v>
      </c>
      <c r="L7" s="12" t="s">
        <v>430</v>
      </c>
    </row>
  </sheetData>
  <mergeCells count="1">
    <mergeCell ref="A1:M1"/>
  </mergeCells>
  <conditionalFormatting sqref="K3:K7">
    <cfRule type="expression" dxfId="15" priority="1">
      <formula>$K3="Pass"</formula>
    </cfRule>
    <cfRule type="expression" dxfId="14" priority="2">
      <formula>$K3="Fail"</formula>
    </cfRule>
    <cfRule type="expression" dxfId="13" priority="3">
      <formula>$K3="Blocked"</formula>
    </cfRule>
    <cfRule type="expression" dxfId="12" priority="4">
      <formula>$K3="Not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A00-000000000000}">
          <x14:formula1>
            <xm:f>Lists!$B$1:$B$4</xm:f>
          </x14:formula1>
          <xm:sqref>H3:H8</xm:sqref>
        </x14:dataValidation>
        <x14:dataValidation type="list" xr:uid="{00000000-0002-0000-0A00-000001000000}">
          <x14:formula1>
            <xm:f>Lists!$D$1:$D$8</xm:f>
          </x14:formula1>
          <xm:sqref>I3:I8</xm:sqref>
        </x14:dataValidation>
        <x14:dataValidation type="list" xr:uid="{00000000-0002-0000-0A00-000002000000}">
          <x14:formula1>
            <xm:f>Lists!$C$1:$C$3</xm:f>
          </x14:formula1>
          <xm:sqref>J3:J8</xm:sqref>
        </x14:dataValidation>
        <x14:dataValidation type="list" xr:uid="{00000000-0002-0000-0A00-000003000000}">
          <x14:formula1>
            <xm:f>Lists!$A$1:$A$4</xm:f>
          </x14:formula1>
          <xm:sqref>K3:K8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"/>
  <sheetViews>
    <sheetView topLeftCell="D1" workbookViewId="0">
      <selection sqref="A1:XFD1048576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28" customWidth="1"/>
    <col min="5" max="5" width="42" customWidth="1"/>
    <col min="6" max="6" width="22" customWidth="1"/>
    <col min="7" max="7" width="38" customWidth="1"/>
    <col min="8" max="8" width="11" customWidth="1"/>
    <col min="9" max="9" width="14" customWidth="1"/>
    <col min="10" max="10" width="20" customWidth="1"/>
    <col min="11" max="11" width="12" customWidth="1"/>
    <col min="12" max="12" width="20" customWidth="1"/>
  </cols>
  <sheetData>
    <row r="1" spans="1:13" x14ac:dyDescent="0.3">
      <c r="A1" s="16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x14ac:dyDescent="0.3">
      <c r="A2" s="8" t="s">
        <v>99</v>
      </c>
      <c r="B2" s="8" t="s">
        <v>41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71</v>
      </c>
      <c r="L2" s="8" t="s">
        <v>108</v>
      </c>
    </row>
    <row r="3" spans="1:13" ht="43.2" x14ac:dyDescent="0.3">
      <c r="A3" s="10" t="s">
        <v>431</v>
      </c>
      <c r="B3" s="10" t="s">
        <v>63</v>
      </c>
      <c r="C3" s="10" t="s">
        <v>432</v>
      </c>
      <c r="D3" s="10" t="s">
        <v>433</v>
      </c>
      <c r="E3" s="10" t="s">
        <v>434</v>
      </c>
      <c r="F3" s="10" t="s">
        <v>435</v>
      </c>
      <c r="G3" s="10" t="s">
        <v>436</v>
      </c>
      <c r="H3" s="11" t="s">
        <v>10</v>
      </c>
      <c r="I3" s="11" t="s">
        <v>93</v>
      </c>
      <c r="J3" s="11" t="s">
        <v>85</v>
      </c>
      <c r="K3" s="12" t="s">
        <v>8</v>
      </c>
      <c r="L3" s="12" t="s">
        <v>437</v>
      </c>
    </row>
    <row r="4" spans="1:13" ht="28.8" x14ac:dyDescent="0.3">
      <c r="A4" s="10" t="s">
        <v>438</v>
      </c>
      <c r="B4" s="10" t="s">
        <v>63</v>
      </c>
      <c r="C4" s="10" t="s">
        <v>439</v>
      </c>
      <c r="D4" s="10" t="s">
        <v>440</v>
      </c>
      <c r="E4" s="10" t="s">
        <v>441</v>
      </c>
      <c r="F4" s="10" t="s">
        <v>442</v>
      </c>
      <c r="G4" s="10" t="s">
        <v>443</v>
      </c>
      <c r="H4" s="11" t="s">
        <v>10</v>
      </c>
      <c r="I4" s="11" t="s">
        <v>91</v>
      </c>
      <c r="J4" s="11" t="s">
        <v>85</v>
      </c>
      <c r="K4" s="12" t="s">
        <v>8</v>
      </c>
      <c r="L4" s="12" t="s">
        <v>444</v>
      </c>
    </row>
    <row r="5" spans="1:13" ht="43.2" x14ac:dyDescent="0.3">
      <c r="A5" s="10" t="s">
        <v>445</v>
      </c>
      <c r="B5" s="10" t="s">
        <v>63</v>
      </c>
      <c r="C5" s="10" t="s">
        <v>446</v>
      </c>
      <c r="D5" s="10" t="s">
        <v>447</v>
      </c>
      <c r="E5" s="10" t="s">
        <v>448</v>
      </c>
      <c r="F5" s="10" t="s">
        <v>449</v>
      </c>
      <c r="G5" s="10" t="s">
        <v>450</v>
      </c>
      <c r="H5" s="11" t="s">
        <v>89</v>
      </c>
      <c r="I5" s="11" t="s">
        <v>93</v>
      </c>
      <c r="J5" s="11" t="s">
        <v>85</v>
      </c>
      <c r="K5" s="12" t="s">
        <v>8</v>
      </c>
      <c r="L5" s="12" t="s">
        <v>451</v>
      </c>
    </row>
    <row r="6" spans="1:13" ht="43.2" x14ac:dyDescent="0.3">
      <c r="A6" s="10" t="s">
        <v>452</v>
      </c>
      <c r="B6" s="10" t="s">
        <v>63</v>
      </c>
      <c r="C6" s="10" t="s">
        <v>453</v>
      </c>
      <c r="D6" s="10" t="s">
        <v>454</v>
      </c>
      <c r="E6" s="10" t="s">
        <v>455</v>
      </c>
      <c r="F6" s="10" t="s">
        <v>456</v>
      </c>
      <c r="G6" s="10" t="s">
        <v>457</v>
      </c>
      <c r="H6" s="11" t="s">
        <v>10</v>
      </c>
      <c r="I6" s="11" t="s">
        <v>91</v>
      </c>
      <c r="J6" s="11" t="s">
        <v>85</v>
      </c>
      <c r="K6" s="12" t="s">
        <v>8</v>
      </c>
      <c r="L6" s="12" t="s">
        <v>458</v>
      </c>
    </row>
    <row r="7" spans="1:13" ht="28.8" x14ac:dyDescent="0.3">
      <c r="A7" s="10" t="s">
        <v>459</v>
      </c>
      <c r="B7" s="10" t="s">
        <v>63</v>
      </c>
      <c r="C7" s="10" t="s">
        <v>460</v>
      </c>
      <c r="D7" s="10" t="s">
        <v>461</v>
      </c>
      <c r="E7" s="10" t="s">
        <v>462</v>
      </c>
      <c r="F7" s="10" t="s">
        <v>463</v>
      </c>
      <c r="G7" s="10" t="s">
        <v>464</v>
      </c>
      <c r="H7" s="11" t="s">
        <v>89</v>
      </c>
      <c r="I7" s="11" t="s">
        <v>86</v>
      </c>
      <c r="J7" s="11" t="s">
        <v>87</v>
      </c>
      <c r="K7" s="12" t="s">
        <v>8</v>
      </c>
      <c r="L7" s="12" t="s">
        <v>465</v>
      </c>
    </row>
  </sheetData>
  <mergeCells count="1">
    <mergeCell ref="A1:M1"/>
  </mergeCells>
  <conditionalFormatting sqref="K3:K7">
    <cfRule type="expression" dxfId="11" priority="1">
      <formula>$K3="Pass"</formula>
    </cfRule>
    <cfRule type="expression" dxfId="10" priority="2">
      <formula>$K3="Fail"</formula>
    </cfRule>
    <cfRule type="expression" dxfId="9" priority="3">
      <formula>$K3="Blocked"</formula>
    </cfRule>
    <cfRule type="expression" dxfId="8" priority="4">
      <formula>$K3="Not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B00-000000000000}">
          <x14:formula1>
            <xm:f>Lists!$B$1:$B$4</xm:f>
          </x14:formula1>
          <xm:sqref>H3:H8</xm:sqref>
        </x14:dataValidation>
        <x14:dataValidation type="list" xr:uid="{00000000-0002-0000-0B00-000001000000}">
          <x14:formula1>
            <xm:f>Lists!$D$1:$D$8</xm:f>
          </x14:formula1>
          <xm:sqref>I3:I8</xm:sqref>
        </x14:dataValidation>
        <x14:dataValidation type="list" xr:uid="{00000000-0002-0000-0B00-000002000000}">
          <x14:formula1>
            <xm:f>Lists!$C$1:$C$3</xm:f>
          </x14:formula1>
          <xm:sqref>J3:J8</xm:sqref>
        </x14:dataValidation>
        <x14:dataValidation type="list" xr:uid="{00000000-0002-0000-0B00-000003000000}">
          <x14:formula1>
            <xm:f>Lists!$A$1:$A$4</xm:f>
          </x14:formula1>
          <xm:sqref>K3:K8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7"/>
  <sheetViews>
    <sheetView topLeftCell="D1" workbookViewId="0">
      <selection activeCell="E17" sqref="E17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28" customWidth="1"/>
    <col min="5" max="5" width="42" customWidth="1"/>
    <col min="6" max="6" width="22" customWidth="1"/>
    <col min="7" max="7" width="38" customWidth="1"/>
    <col min="8" max="8" width="11" customWidth="1"/>
    <col min="9" max="9" width="14" customWidth="1"/>
    <col min="10" max="10" width="20" customWidth="1"/>
    <col min="11" max="11" width="12" customWidth="1"/>
    <col min="12" max="12" width="20" customWidth="1"/>
  </cols>
  <sheetData>
    <row r="1" spans="1:13" x14ac:dyDescent="0.3">
      <c r="A1" s="16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x14ac:dyDescent="0.3">
      <c r="A2" s="8" t="s">
        <v>99</v>
      </c>
      <c r="B2" s="8" t="s">
        <v>41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71</v>
      </c>
      <c r="L2" s="8" t="s">
        <v>108</v>
      </c>
    </row>
    <row r="3" spans="1:13" ht="43.2" x14ac:dyDescent="0.3">
      <c r="A3" s="10" t="s">
        <v>466</v>
      </c>
      <c r="B3" s="10" t="s">
        <v>65</v>
      </c>
      <c r="C3" s="10" t="s">
        <v>467</v>
      </c>
      <c r="D3" s="10" t="s">
        <v>468</v>
      </c>
      <c r="E3" s="10" t="s">
        <v>469</v>
      </c>
      <c r="F3" s="10" t="s">
        <v>470</v>
      </c>
      <c r="G3" s="10" t="s">
        <v>471</v>
      </c>
      <c r="H3" s="11" t="s">
        <v>10</v>
      </c>
      <c r="I3" s="11" t="s">
        <v>96</v>
      </c>
      <c r="J3" s="11" t="s">
        <v>90</v>
      </c>
      <c r="K3" s="12" t="s">
        <v>8</v>
      </c>
      <c r="L3" s="12" t="s">
        <v>472</v>
      </c>
    </row>
    <row r="4" spans="1:13" ht="43.2" x14ac:dyDescent="0.3">
      <c r="A4" s="10" t="s">
        <v>473</v>
      </c>
      <c r="B4" s="10" t="s">
        <v>65</v>
      </c>
      <c r="C4" s="10" t="s">
        <v>474</v>
      </c>
      <c r="D4" s="10" t="s">
        <v>475</v>
      </c>
      <c r="E4" s="10" t="s">
        <v>476</v>
      </c>
      <c r="F4" s="10" t="s">
        <v>477</v>
      </c>
      <c r="G4" s="10" t="s">
        <v>478</v>
      </c>
      <c r="H4" s="11" t="s">
        <v>84</v>
      </c>
      <c r="I4" s="11" t="s">
        <v>96</v>
      </c>
      <c r="J4" s="11" t="s">
        <v>87</v>
      </c>
      <c r="K4" s="12" t="s">
        <v>8</v>
      </c>
      <c r="L4" s="12" t="s">
        <v>479</v>
      </c>
    </row>
    <row r="5" spans="1:13" ht="43.2" x14ac:dyDescent="0.3">
      <c r="A5" s="10" t="s">
        <v>480</v>
      </c>
      <c r="B5" s="10" t="s">
        <v>65</v>
      </c>
      <c r="C5" s="10" t="s">
        <v>481</v>
      </c>
      <c r="D5" s="10" t="s">
        <v>482</v>
      </c>
      <c r="E5" s="10" t="s">
        <v>483</v>
      </c>
      <c r="F5" s="10" t="s">
        <v>484</v>
      </c>
      <c r="G5" s="10" t="s">
        <v>485</v>
      </c>
      <c r="H5" s="11" t="s">
        <v>10</v>
      </c>
      <c r="I5" s="11" t="s">
        <v>96</v>
      </c>
      <c r="J5" s="11" t="s">
        <v>87</v>
      </c>
      <c r="K5" s="12" t="s">
        <v>8</v>
      </c>
      <c r="L5" s="12" t="s">
        <v>486</v>
      </c>
    </row>
    <row r="6" spans="1:13" ht="28.8" x14ac:dyDescent="0.3">
      <c r="A6" s="10" t="s">
        <v>487</v>
      </c>
      <c r="B6" s="10" t="s">
        <v>65</v>
      </c>
      <c r="C6" s="10" t="s">
        <v>488</v>
      </c>
      <c r="D6" s="10" t="s">
        <v>489</v>
      </c>
      <c r="E6" s="10" t="s">
        <v>490</v>
      </c>
      <c r="F6" s="10" t="s">
        <v>491</v>
      </c>
      <c r="G6" s="10" t="s">
        <v>492</v>
      </c>
      <c r="H6" s="11" t="s">
        <v>10</v>
      </c>
      <c r="I6" s="11" t="s">
        <v>91</v>
      </c>
      <c r="J6" s="11" t="s">
        <v>87</v>
      </c>
      <c r="K6" s="12" t="s">
        <v>8</v>
      </c>
      <c r="L6" s="12" t="s">
        <v>493</v>
      </c>
    </row>
    <row r="7" spans="1:13" ht="43.2" x14ac:dyDescent="0.3">
      <c r="A7" s="10" t="s">
        <v>494</v>
      </c>
      <c r="B7" s="10" t="s">
        <v>65</v>
      </c>
      <c r="C7" s="10" t="s">
        <v>495</v>
      </c>
      <c r="D7" s="10" t="s">
        <v>496</v>
      </c>
      <c r="E7" s="10" t="s">
        <v>497</v>
      </c>
      <c r="F7" s="10" t="s">
        <v>498</v>
      </c>
      <c r="G7" s="10" t="s">
        <v>499</v>
      </c>
      <c r="H7" s="11" t="s">
        <v>89</v>
      </c>
      <c r="I7" s="11" t="s">
        <v>96</v>
      </c>
      <c r="J7" s="11" t="s">
        <v>90</v>
      </c>
      <c r="K7" s="12" t="s">
        <v>8</v>
      </c>
      <c r="L7" s="12" t="s">
        <v>500</v>
      </c>
    </row>
  </sheetData>
  <mergeCells count="1">
    <mergeCell ref="A1:M1"/>
  </mergeCells>
  <conditionalFormatting sqref="K3:K7">
    <cfRule type="expression" dxfId="7" priority="1">
      <formula>$K3="Pass"</formula>
    </cfRule>
    <cfRule type="expression" dxfId="6" priority="2">
      <formula>$K3="Fail"</formula>
    </cfRule>
    <cfRule type="expression" dxfId="5" priority="3">
      <formula>$K3="Blocked"</formula>
    </cfRule>
    <cfRule type="expression" dxfId="4" priority="4">
      <formula>$K3="Not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C00-000000000000}">
          <x14:formula1>
            <xm:f>Lists!$B$1:$B$4</xm:f>
          </x14:formula1>
          <xm:sqref>H3:H8</xm:sqref>
        </x14:dataValidation>
        <x14:dataValidation type="list" xr:uid="{00000000-0002-0000-0C00-000001000000}">
          <x14:formula1>
            <xm:f>Lists!$D$1:$D$8</xm:f>
          </x14:formula1>
          <xm:sqref>I3:I8</xm:sqref>
        </x14:dataValidation>
        <x14:dataValidation type="list" xr:uid="{00000000-0002-0000-0C00-000002000000}">
          <x14:formula1>
            <xm:f>Lists!$C$1:$C$3</xm:f>
          </x14:formula1>
          <xm:sqref>J3:J8</xm:sqref>
        </x14:dataValidation>
        <x14:dataValidation type="list" xr:uid="{00000000-0002-0000-0C00-000003000000}">
          <x14:formula1>
            <xm:f>Lists!$A$1:$A$4</xm:f>
          </x14:formula1>
          <xm:sqref>K3:K8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6"/>
  <sheetViews>
    <sheetView topLeftCell="D1" workbookViewId="0">
      <selection activeCell="E14" sqref="E14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28" customWidth="1"/>
    <col min="5" max="5" width="42" customWidth="1"/>
    <col min="6" max="6" width="22" customWidth="1"/>
    <col min="7" max="7" width="38" customWidth="1"/>
    <col min="8" max="8" width="11" customWidth="1"/>
    <col min="9" max="9" width="14" customWidth="1"/>
    <col min="10" max="10" width="20" customWidth="1"/>
    <col min="11" max="11" width="12" customWidth="1"/>
    <col min="12" max="12" width="20" customWidth="1"/>
  </cols>
  <sheetData>
    <row r="1" spans="1:13" x14ac:dyDescent="0.3">
      <c r="A1" s="16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x14ac:dyDescent="0.3">
      <c r="A2" s="8" t="s">
        <v>99</v>
      </c>
      <c r="B2" s="8" t="s">
        <v>41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71</v>
      </c>
      <c r="L2" s="8" t="s">
        <v>108</v>
      </c>
    </row>
    <row r="3" spans="1:13" ht="57.6" x14ac:dyDescent="0.3">
      <c r="A3" s="10" t="s">
        <v>501</v>
      </c>
      <c r="B3" s="10" t="s">
        <v>67</v>
      </c>
      <c r="C3" s="10" t="s">
        <v>502</v>
      </c>
      <c r="D3" s="10" t="s">
        <v>503</v>
      </c>
      <c r="E3" s="10" t="s">
        <v>504</v>
      </c>
      <c r="F3" s="10" t="s">
        <v>505</v>
      </c>
      <c r="G3" s="10" t="s">
        <v>506</v>
      </c>
      <c r="H3" s="11" t="s">
        <v>84</v>
      </c>
      <c r="I3" s="11" t="s">
        <v>95</v>
      </c>
      <c r="J3" s="11" t="s">
        <v>90</v>
      </c>
      <c r="K3" s="12" t="s">
        <v>8</v>
      </c>
      <c r="L3" s="12" t="s">
        <v>507</v>
      </c>
    </row>
    <row r="4" spans="1:13" ht="43.2" x14ac:dyDescent="0.3">
      <c r="A4" s="10" t="s">
        <v>508</v>
      </c>
      <c r="B4" s="10" t="s">
        <v>67</v>
      </c>
      <c r="C4" s="10" t="s">
        <v>509</v>
      </c>
      <c r="D4" s="10" t="s">
        <v>510</v>
      </c>
      <c r="E4" s="10" t="s">
        <v>511</v>
      </c>
      <c r="F4" s="10" t="s">
        <v>512</v>
      </c>
      <c r="G4" s="10" t="s">
        <v>513</v>
      </c>
      <c r="H4" s="11" t="s">
        <v>84</v>
      </c>
      <c r="I4" s="11" t="s">
        <v>91</v>
      </c>
      <c r="J4" s="11" t="s">
        <v>87</v>
      </c>
      <c r="K4" s="12" t="s">
        <v>8</v>
      </c>
      <c r="L4" s="12" t="s">
        <v>514</v>
      </c>
    </row>
    <row r="5" spans="1:13" ht="57.6" x14ac:dyDescent="0.3">
      <c r="A5" s="10" t="s">
        <v>515</v>
      </c>
      <c r="B5" s="10" t="s">
        <v>67</v>
      </c>
      <c r="C5" s="10" t="s">
        <v>516</v>
      </c>
      <c r="D5" s="10" t="s">
        <v>517</v>
      </c>
      <c r="E5" s="10" t="s">
        <v>518</v>
      </c>
      <c r="F5" s="10" t="s">
        <v>519</v>
      </c>
      <c r="G5" s="10" t="s">
        <v>520</v>
      </c>
      <c r="H5" s="11" t="s">
        <v>10</v>
      </c>
      <c r="I5" s="11" t="s">
        <v>95</v>
      </c>
      <c r="J5" s="11" t="s">
        <v>90</v>
      </c>
      <c r="K5" s="12" t="s">
        <v>8</v>
      </c>
      <c r="L5" s="12" t="s">
        <v>521</v>
      </c>
    </row>
    <row r="6" spans="1:13" ht="57.6" x14ac:dyDescent="0.3">
      <c r="A6" s="10" t="s">
        <v>522</v>
      </c>
      <c r="B6" s="10" t="s">
        <v>67</v>
      </c>
      <c r="C6" s="10" t="s">
        <v>523</v>
      </c>
      <c r="D6" s="10" t="s">
        <v>524</v>
      </c>
      <c r="E6" s="10" t="s">
        <v>525</v>
      </c>
      <c r="F6" s="10" t="s">
        <v>526</v>
      </c>
      <c r="G6" s="10" t="s">
        <v>527</v>
      </c>
      <c r="H6" s="11" t="s">
        <v>10</v>
      </c>
      <c r="I6" s="11" t="s">
        <v>95</v>
      </c>
      <c r="J6" s="11" t="s">
        <v>90</v>
      </c>
      <c r="K6" s="12" t="s">
        <v>8</v>
      </c>
      <c r="L6" s="12" t="s">
        <v>528</v>
      </c>
    </row>
  </sheetData>
  <mergeCells count="1">
    <mergeCell ref="A1:M1"/>
  </mergeCells>
  <conditionalFormatting sqref="K3:K6">
    <cfRule type="expression" dxfId="3" priority="1">
      <formula>$K3="Pass"</formula>
    </cfRule>
    <cfRule type="expression" dxfId="2" priority="2">
      <formula>$K3="Fail"</formula>
    </cfRule>
    <cfRule type="expression" dxfId="1" priority="3">
      <formula>$K3="Blocked"</formula>
    </cfRule>
    <cfRule type="expression" dxfId="0" priority="4">
      <formula>$K3="Not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D00-000000000000}">
          <x14:formula1>
            <xm:f>Lists!$B$1:$B$4</xm:f>
          </x14:formula1>
          <xm:sqref>H3:H8</xm:sqref>
        </x14:dataValidation>
        <x14:dataValidation type="list" xr:uid="{00000000-0002-0000-0D00-000001000000}">
          <x14:formula1>
            <xm:f>Lists!$D$1:$D$8</xm:f>
          </x14:formula1>
          <xm:sqref>I3:I8</xm:sqref>
        </x14:dataValidation>
        <x14:dataValidation type="list" xr:uid="{00000000-0002-0000-0D00-000002000000}">
          <x14:formula1>
            <xm:f>Lists!$C$1:$C$3</xm:f>
          </x14:formula1>
          <xm:sqref>J3:J8</xm:sqref>
        </x14:dataValidation>
        <x14:dataValidation type="list" xr:uid="{00000000-0002-0000-0D00-000003000000}">
          <x14:formula1>
            <xm:f>Lists!$A$1:$A$4</xm:f>
          </x14:formula1>
          <xm:sqref>K3:K8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8d2d5684-10a2-4364-952f-c78858d41697}" enabled="1" method="Standard" siteId="{4a3454a0-8cf4-4a9c-b1c0-6ce4d1495f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Summary</vt:lpstr>
      <vt:lpstr>Lists</vt:lpstr>
      <vt:lpstr>10_Print_Functionality</vt:lpstr>
      <vt:lpstr>20_Copy_Functionality</vt:lpstr>
      <vt:lpstr>30_Scan_Functionality</vt:lpstr>
      <vt:lpstr>40_Network_Connectivity</vt:lpstr>
      <vt:lpstr>50_Firmware_Configuration</vt:lpstr>
      <vt:lpstr>60_Paper_Handling_Media</vt:lpstr>
      <vt:lpstr>70_UI_Control_Panel</vt:lpstr>
      <vt:lpstr>80_Security_Access</vt:lpstr>
      <vt:lpstr>90_Monitoring_Alerts</vt:lpstr>
      <vt:lpstr>100_Performance_Reliability</vt:lpstr>
      <vt:lpstr>110_E2E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Tan, RamonJr</cp:lastModifiedBy>
  <dcterms:modified xsi:type="dcterms:W3CDTF">2026-03-27T04:58:37Z</dcterms:modified>
</cp:coreProperties>
</file>